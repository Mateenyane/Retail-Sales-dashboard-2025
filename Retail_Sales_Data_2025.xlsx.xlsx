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style2.xml" ContentType="application/vnd.ms-office.chartstyle+xml"/>
  <Override PartName="/xl/charts/chart1.xml" ContentType="application/vnd.openxmlformats-officedocument.drawingml.chart+xml"/>
  <Override PartName="/xl/theme/theme1.xml" ContentType="application/vnd.openxmlformats-officedocument.them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Cache/pivotCacheDefinition1.xml" ContentType="application/vnd.openxmlformats-officedocument.spreadsheetml.pivotCacheDefinition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worksheets/sheet1.xml" ContentType="application/vnd.openxmlformats-officedocument.spreadsheetml.worksheet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pivotCache/pivotCacheRecords1.xml" ContentType="application/vnd.openxmlformats-officedocument.spreadsheetml.pivotCacheRecords+xml"/>
  <Override PartName="/xl/pivotTables/pivotTable3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4" showHorizontalScroll="1" showVerticalScroll="1"/>
  </bookViews>
  <sheets>
    <sheet name="README" sheetId="1" state="visible" r:id="rId2"/>
    <sheet name="Tables Sheet" sheetId="2" state="visible" r:id="rId3"/>
    <sheet name="Sales_Data" sheetId="3" state="visible" r:id="rId4"/>
    <sheet name="Products" sheetId="4" state="visible" r:id="rId5"/>
    <sheet name="Dashboard" sheetId="5" state="visible" r:id="rId6"/>
  </sheets>
  <calcPr refMode="A1" iterate="0" iterateCount="100" iterateDelta="0.0001"/>
  <pivotCaches>
    <pivotCache cacheId="0" r:id="rId1"/>
  </pivotCaches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<sst xmlns="http://schemas.openxmlformats.org/spreadsheetml/2006/main" count="695" uniqueCount="695">
  <si>
    <t xml:space="preserve">Excel Practice Dataset: Retail Sales 2025</t>
  </si>
  <si>
    <t xml:space="preserve">Fictional data created for practice. It is not real company data. Amounts are in South African Rand (R).</t>
  </si>
  <si>
    <t>Sheets</t>
  </si>
  <si>
    <t xml:space="preserve">Sales_Data: 600 orders (Jan–Dec 2025). Revenue is a formula = Quantity × Unit Price × (1 − Discount).</t>
  </si>
  <si>
    <t xml:space="preserve">Products: product list with category and cost price, for practising lookups (VLOOKUP / INDEX-MATCH).</t>
  </si>
  <si>
    <t xml:space="preserve">Practice tasks (do them in order)</t>
  </si>
  <si>
    <t xml:space="preserve">1. Data cleaning: check for blanks and duplicates, and make sure dates and numbers have the right format.</t>
  </si>
  <si>
    <t xml:space="preserve">2. Add helper columns: Month (=TEXT(date,"mmm")), Quarter, and Profit (use a lookup to Products for Cost Price).</t>
  </si>
  <si>
    <t xml:space="preserve">3. Formulas: total revenue, average order value, SUMIFS revenue by region, COUNTIFS orders by category.</t>
  </si>
  <si>
    <t xml:space="preserve">4. Pivot tables: revenue by month, revenue by region, top 5 products, revenue by sales rep.</t>
  </si>
  <si>
    <t xml:space="preserve">5. Charts: line (monthly revenue trend), bar (revenue by region), pie/donut (category share).</t>
  </si>
  <si>
    <t xml:space="preserve">6. Dashboard: new sheet with KPI cards (Total Revenue, Orders, Avg Order Value, Profit) + 3–4 charts + slicers (Region, Category).</t>
  </si>
  <si>
    <t xml:space="preserve">7. Insights: write 3 findings and 2 recommendations on the dashboard (e.g. best region, weakest month, discount impact).</t>
  </si>
  <si>
    <t xml:space="preserve">Tip: save your finished dashboard as a portfolio project and describe it using: question → steps → findings → recommendations.</t>
  </si>
  <si>
    <t xml:space="preserve">Row Labels</t>
  </si>
  <si>
    <t xml:space="preserve">Sum of Revenue (R)</t>
  </si>
  <si>
    <t>Month</t>
  </si>
  <si>
    <t>Revenue</t>
  </si>
  <si>
    <t xml:space="preserve">Free State</t>
  </si>
  <si>
    <t>Accessories</t>
  </si>
  <si>
    <t>Apr</t>
  </si>
  <si>
    <t>Desk</t>
  </si>
  <si>
    <t>Jan</t>
  </si>
  <si>
    <t xml:space="preserve">Eastern Cape</t>
  </si>
  <si>
    <t>Electronics</t>
  </si>
  <si>
    <t>Aug</t>
  </si>
  <si>
    <t>Smartwatch</t>
  </si>
  <si>
    <t>Feb</t>
  </si>
  <si>
    <t>Limpopo</t>
  </si>
  <si>
    <t>Furniture</t>
  </si>
  <si>
    <t>Dec</t>
  </si>
  <si>
    <t>Tablet</t>
  </si>
  <si>
    <t>Mar</t>
  </si>
  <si>
    <t xml:space="preserve">Western Cape</t>
  </si>
  <si>
    <t>Stationery</t>
  </si>
  <si>
    <t>Smartphone</t>
  </si>
  <si>
    <t>KwaZulu-Natal</t>
  </si>
  <si>
    <t xml:space="preserve">Grand Total</t>
  </si>
  <si>
    <t>Laptop</t>
  </si>
  <si>
    <t>May</t>
  </si>
  <si>
    <t>Gauteng</t>
  </si>
  <si>
    <t>Jul</t>
  </si>
  <si>
    <t>Jun</t>
  </si>
  <si>
    <t>Sep</t>
  </si>
  <si>
    <t>Nov</t>
  </si>
  <si>
    <t>Oct</t>
  </si>
  <si>
    <t xml:space="preserve">Order ID</t>
  </si>
  <si>
    <t xml:space="preserve">Order Date</t>
  </si>
  <si>
    <t>Region</t>
  </si>
  <si>
    <t>City</t>
  </si>
  <si>
    <t>Category</t>
  </si>
  <si>
    <t>Product</t>
  </si>
  <si>
    <t>Quantity</t>
  </si>
  <si>
    <t xml:space="preserve">Unit Price (R)</t>
  </si>
  <si>
    <t>Discount</t>
  </si>
  <si>
    <t xml:space="preserve">Sales Rep</t>
  </si>
  <si>
    <t xml:space="preserve">Customer Type</t>
  </si>
  <si>
    <t xml:space="preserve">Payment Method</t>
  </si>
  <si>
    <t xml:space="preserve">Revenue (R)</t>
  </si>
  <si>
    <t>Quarter</t>
  </si>
  <si>
    <t xml:space="preserve">Cost Price</t>
  </si>
  <si>
    <t>Profit</t>
  </si>
  <si>
    <t>ORD-1001</t>
  </si>
  <si>
    <t>Bloemfontein</t>
  </si>
  <si>
    <t xml:space="preserve">Lerato K.</t>
  </si>
  <si>
    <t>Retail</t>
  </si>
  <si>
    <t>Cash</t>
  </si>
  <si>
    <t>ORD-1002</t>
  </si>
  <si>
    <t>Stellenbosch</t>
  </si>
  <si>
    <t xml:space="preserve">Notebook Pack</t>
  </si>
  <si>
    <t xml:space="preserve">Naledi P.</t>
  </si>
  <si>
    <t>Business</t>
  </si>
  <si>
    <t>ORD-1003</t>
  </si>
  <si>
    <t>Backpack</t>
  </si>
  <si>
    <t>EFT</t>
  </si>
  <si>
    <t>ORD-1004</t>
  </si>
  <si>
    <t>Pietermaritzburg</t>
  </si>
  <si>
    <t xml:space="preserve">Power Bank</t>
  </si>
  <si>
    <t>Card</t>
  </si>
  <si>
    <t>ORD-1005</t>
  </si>
  <si>
    <t>Sandton</t>
  </si>
  <si>
    <t>Bookshelf</t>
  </si>
  <si>
    <t>ORD-1006</t>
  </si>
  <si>
    <t xml:space="preserve">Pieter V.</t>
  </si>
  <si>
    <t>ORD-1007</t>
  </si>
  <si>
    <t>Pretoria</t>
  </si>
  <si>
    <t xml:space="preserve">Printer Paper</t>
  </si>
  <si>
    <t>ORD-1008</t>
  </si>
  <si>
    <t>ORD-1009</t>
  </si>
  <si>
    <t xml:space="preserve">Ayesha D.</t>
  </si>
  <si>
    <t xml:space="preserve">Mobile Wallet</t>
  </si>
  <si>
    <t>ORD-1010</t>
  </si>
  <si>
    <t xml:space="preserve">Pen Box</t>
  </si>
  <si>
    <t xml:space="preserve">Sipho N.</t>
  </si>
  <si>
    <t>ORD-1011</t>
  </si>
  <si>
    <t>Gqeberha</t>
  </si>
  <si>
    <t>Headphones</t>
  </si>
  <si>
    <t>ORD-1012</t>
  </si>
  <si>
    <t>Johannesburg</t>
  </si>
  <si>
    <t>ORD-1013</t>
  </si>
  <si>
    <t>ORD-1014</t>
  </si>
  <si>
    <t>ORD-1015</t>
  </si>
  <si>
    <t xml:space="preserve">Cape Town</t>
  </si>
  <si>
    <t xml:space="preserve">Thabo M.</t>
  </si>
  <si>
    <t>ORD-1016</t>
  </si>
  <si>
    <t xml:space="preserve">East London</t>
  </si>
  <si>
    <t xml:space="preserve">Phone Case</t>
  </si>
  <si>
    <t>ORD-1017</t>
  </si>
  <si>
    <t>ORD-1018</t>
  </si>
  <si>
    <t>ORD-1019</t>
  </si>
  <si>
    <t>ORD-1020</t>
  </si>
  <si>
    <t>ORD-1021</t>
  </si>
  <si>
    <t>Polokwane</t>
  </si>
  <si>
    <t>ORD-1022</t>
  </si>
  <si>
    <t>Durban</t>
  </si>
  <si>
    <t>ORD-1023</t>
  </si>
  <si>
    <t>ORD-1024</t>
  </si>
  <si>
    <t>ORD-1025</t>
  </si>
  <si>
    <t>ORD-1026</t>
  </si>
  <si>
    <t>ORD-1027</t>
  </si>
  <si>
    <t xml:space="preserve">Office Chair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</si>
  <si>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</si>
  <si>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</si>
  <si>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</si>
  <si>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</si>
  <si>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</si>
  <si>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</si>
  <si>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</si>
  <si>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</si>
  <si>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</si>
  <si>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</si>
  <si>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</si>
  <si>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</si>
  <si>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</si>
  <si>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</si>
  <si>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</si>
  <si>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</si>
  <si>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</si>
  <si>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</si>
  <si>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</si>
  <si>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</si>
  <si>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</si>
  <si>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</si>
  <si>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</si>
  <si>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</si>
  <si>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</si>
  <si>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</si>
  <si>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</si>
  <si>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</si>
  <si>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</si>
  <si>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</si>
  <si>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</si>
  <si>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</si>
  <si>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</si>
  <si>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</si>
  <si>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</si>
  <si>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</si>
  <si>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</si>
  <si>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</si>
  <si>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</si>
  <si>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</si>
  <si>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</si>
  <si>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</si>
  <si>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</si>
  <si>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</si>
  <si>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</si>
  <si>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</si>
  <si>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</si>
  <si>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</si>
  <si>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</si>
  <si>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</si>
  <si>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</si>
  <si>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</si>
  <si>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</si>
  <si>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</si>
  <si>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</si>
  <si>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</si>
  <si>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</si>
  <si>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</si>
  <si>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</si>
  <si>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</si>
  <si>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</si>
  <si>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</si>
  <si>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</si>
  <si>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</si>
  <si>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</si>
  <si>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</si>
  <si>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</si>
  <si>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</si>
  <si>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</si>
  <si>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</si>
  <si>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</si>
  <si>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</si>
  <si>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</si>
  <si>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</si>
  <si>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</si>
  <si>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</si>
  <si>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</si>
  <si>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</si>
  <si>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</si>
  <si>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</si>
  <si>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</si>
  <si>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</si>
  <si>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</si>
  <si>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</si>
  <si>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</si>
  <si>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</si>
  <si>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</si>
  <si>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</si>
  <si>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</si>
  <si>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</si>
  <si>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</si>
  <si>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</si>
  <si>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</si>
  <si>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</si>
  <si>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</si>
  <si>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</si>
  <si>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</si>
  <si>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</si>
  <si>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</si>
  <si>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</si>
  <si>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</si>
  <si>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</si>
  <si>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</si>
  <si>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</si>
  <si>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</si>
  <si>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</si>
  <si>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</si>
  <si>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</si>
  <si>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</si>
  <si>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</si>
  <si>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</si>
  <si>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</si>
  <si>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</si>
  <si>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</si>
  <si>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</si>
  <si>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</si>
  <si>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</si>
  <si>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</si>
  <si>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</si>
  <si>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</si>
  <si>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</si>
  <si>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</si>
  <si>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</si>
  <si>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</si>
  <si>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</si>
  <si>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</si>
  <si>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</si>
  <si>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</si>
  <si>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</si>
  <si>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</si>
  <si>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</si>
  <si>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</si>
  <si>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</si>
  <si>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</si>
  <si>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</si>
  <si>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</si>
  <si>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</si>
  <si>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</si>
  <si>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</si>
  <si>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</si>
  <si>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</si>
  <si>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</si>
  <si>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</si>
  <si>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</si>
  <si>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</si>
  <si>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</si>
  <si>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</si>
  <si>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</si>
  <si>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</si>
  <si>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</si>
  <si>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</si>
  <si>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</si>
  <si>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</si>
  <si>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</si>
  <si>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</si>
  <si>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</si>
  <si>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</si>
  <si>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</si>
  <si>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</si>
  <si>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</si>
  <si>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</si>
  <si>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</si>
  <si>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</si>
  <si>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</si>
  <si>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</si>
  <si>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</si>
  <si>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</si>
  <si>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</si>
  <si>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</si>
  <si>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</si>
  <si>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</si>
  <si>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</si>
  <si>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</si>
  <si>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</si>
  <si>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</si>
  <si>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</si>
  <si>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</si>
  <si>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</si>
  <si>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</si>
  <si>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</si>
  <si>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</si>
  <si>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</si>
  <si>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</si>
  <si>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</si>
  <si>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</si>
  <si>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</si>
  <si>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</si>
  <si>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</si>
  <si>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</si>
  <si>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</si>
  <si>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</si>
  <si>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</si>
  <si>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</si>
  <si>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</si>
  <si>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</si>
  <si>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</si>
  <si>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</si>
  <si>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</si>
  <si>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</si>
  <si>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</si>
  <si>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</si>
  <si>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</si>
  <si>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</si>
  <si>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</si>
  <si>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</si>
  <si>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</si>
  <si>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</si>
  <si>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</si>
  <si>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</si>
  <si>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</si>
  <si>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</si>
  <si>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</si>
  <si>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</si>
  <si>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</si>
  <si>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</si>
  <si>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</si>
  <si>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</si>
  <si>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</si>
  <si>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</si>
  <si>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</si>
  <si>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</si>
  <si>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</si>
  <si>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</si>
  <si>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</si>
  <si>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</si>
  <si>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</si>
  <si>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</si>
  <si>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</si>
  <si>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</si>
  <si>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</si>
  <si>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</si>
  <si>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</si>
  <si>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</si>
  <si>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</si>
  <si>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</si>
  <si>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</si>
  <si>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</si>
  <si>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</si>
  <si>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</si>
  <si>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</si>
  <si>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</si>
  <si>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</si>
  <si>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</si>
  <si>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</si>
  <si>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</si>
  <si>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</si>
  <si>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</si>
  <si>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</si>
  <si>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</si>
  <si>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</si>
  <si>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</si>
  <si>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</si>
  <si>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</si>
  <si>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</si>
  <si>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</si>
  <si>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</si>
  <si>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</si>
  <si>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</si>
  <si>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</si>
  <si>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</si>
  <si>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</si>
  <si>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</si>
  <si>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</si>
  <si>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</si>
  <si>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</si>
  <si>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</si>
  <si>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</si>
  <si>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</si>
  <si>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</si>
  <si>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</si>
  <si>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</si>
  <si>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</si>
  <si>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</si>
  <si>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</si>
  <si>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</si>
  <si>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</si>
  <si>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</si>
  <si>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</si>
  <si>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</si>
  <si>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</si>
  <si>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</si>
  <si>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</si>
  <si>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</si>
  <si>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</si>
  <si>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</si>
  <si>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</si>
  <si>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</si>
  <si>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</si>
  <si>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</si>
  <si>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</si>
  <si>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</si>
  <si>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</si>
  <si>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</si>
  <si>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</si>
  <si>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</si>
  <si>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</si>
  <si>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</si>
  <si>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</si>
  <si>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</si>
  <si>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</si>
  <si>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</si>
  <si>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</si>
  <si>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</si>
  <si>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</si>
  <si>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</si>
  <si>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</si>
  <si>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</si>
  <si>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</si>
  <si>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</si>
  <si>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</si>
  <si>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</si>
  <si>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</si>
  <si>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</si>
  <si>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</si>
  <si>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</si>
  <si>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</si>
  <si>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</si>
  <si>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</si>
  <si>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</si>
  <si>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</si>
  <si>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</si>
  <si>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</si>
  <si>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</si>
  <si>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</si>
  <si>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</si>
  <si>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</si>
  <si>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</si>
  <si>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</si>
  <si>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</si>
  <si>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</si>
  <si>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</si>
  <si>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</si>
  <si>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</si>
  <si>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</si>
  <si>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</si>
  <si>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</si>
  <si>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</si>
  <si>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</si>
  <si>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</si>
  <si>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</si>
  <si>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</si>
  <si>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</si>
  <si>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</si>
  <si>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</si>
  <si>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</si>
  <si>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</si>
  <si>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</si>
  <si>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</si>
  <si>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</si>
  <si>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</si>
  <si>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</si>
  <si>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</si>
  <si>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</si>
  <si>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</si>
  <si>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</si>
  <si>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</si>
  <si>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</si>
  <si>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</si>
  <si>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</si>
  <si>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</si>
  <si>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</si>
  <si>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</si>
  <si>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</si>
  <si>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</si>
  <si>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</si>
  <si>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</si>
  <si>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</si>
  <si>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</si>
  <si>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</si>
  <si>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</si>
  <si>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</si>
  <si>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</si>
  <si>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</si>
  <si>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</si>
  <si>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</si>
  <si>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</si>
  <si>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</si>
  <si>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</si>
  <si>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</si>
  <si>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</si>
  <si>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</si>
  <si>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</si>
  <si>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</si>
  <si>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</si>
  <si>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</si>
  <si>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</si>
  <si>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</si>
  <si>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</si>
  <si>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</si>
  <si>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</si>
  <si>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</si>
  <si>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</si>
  <si>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</si>
  <si>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</si>
  <si>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</si>
  <si>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</si>
  <si>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</si>
  <si>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</si>
  <si>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</si>
  <si>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</si>
  <si>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</si>
  <si>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</si>
  <si>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</si>
  <si>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</si>
  <si>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</si>
  <si>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</si>
  <si>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</si>
  <si>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</si>
  <si>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</si>
  <si>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</si>
  <si>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</si>
  <si>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</si>
  <si>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</si>
  <si>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</si>
  <si>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</si>
  <si>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</si>
  <si>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</si>
  <si>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</si>
  <si>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</si>
  <si>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</si>
  <si>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</si>
  <si>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</si>
  <si>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</si>
  <si>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</si>
  <si>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</si>
  <si>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</si>
  <si>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</si>
  <si>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</si>
  <si>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</si>
  <si>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</si>
  <si>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</si>
  <si>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</si>
  <si>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</si>
  <si>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</si>
  <si>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</si>
  <si>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</si>
  <si>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</si>
  <si>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</si>
  <si>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</si>
  <si>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</si>
  <si>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</si>
  <si>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</si>
  <si>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</si>
  <si>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</si>
  <si>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</si>
  <si>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</si>
  <si>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</si>
  <si>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</si>
  <si>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</si>
  <si>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</si>
  <si>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</si>
  <si>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</si>
  <si>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</si>
  <si>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</si>
  <si>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</si>
  <si>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</si>
  <si>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</si>
  <si>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</si>
  <si>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</si>
  <si>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</si>
  <si>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</si>
  <si>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</si>
  <si>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</si>
  <si>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</si>
  <si>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</si>
  <si>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</si>
  <si>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</si>
  <si>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</si>
  <si>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</si>
  <si>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</si>
  <si>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</si>
  <si>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</si>
  <si>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</si>
  <si>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</si>
  <si>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</si>
  <si>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</si>
  <si>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</si>
  <si>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</si>
  <si>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</si>
  <si>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</si>
  <si>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</si>
  <si>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</si>
  <si>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</si>
  <si>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</si>
  <si>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</si>
  <si>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</si>
  <si>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</si>
  <si>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</si>
  <si>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</si>
  <si>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</si>
  <si>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</si>
  <si>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</si>
  <si>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</si>
  <si>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</si>
  <si>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</si>
  <si>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</si>
  <si>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</si>
  <si>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</si>
  <si>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</si>
  <si>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</si>
  <si>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</si>
  <si>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</si>
  <si>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</si>
  <si>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</si>
  <si>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</si>
  <si>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</si>
  <si>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</si>
  <si>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</si>
  <si>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</si>
  <si>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</si>
  <si>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</si>
  <si>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</si>
  <si>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</si>
  <si>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</si>
  <si>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</si>
  <si>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</si>
  <si>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</si>
  <si>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</si>
  <si>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</si>
  <si>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</si>
  <si>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</si>
  <si>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</si>
  <si>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</si>
  <si>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</si>
  <si>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</si>
  <si>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</si>
  <si>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</si>
  <si>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</si>
  <si>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</si>
  <si>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</si>
  <si>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</si>
  <si>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</si>
  <si>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</si>
  <si>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</si>
  <si>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</si>
  <si>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</si>
  <si>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</si>
  <si>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</si>
  <si>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</si>
  <si>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</si>
  <si>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</si>
  <si>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</si>
  <si>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</si>
  <si>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</si>
  <si>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</si>
  <si>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</si>
  <si>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</si>
  <si>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</si>
  <si>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</si>
  <si>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</si>
  <si>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</si>
  <si>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</si>
  <si>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</si>
  <si>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</si>
  <si>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</si>
  <si>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</si>
  <si>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</si>
  <si>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</si>
  <si>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</si>
  <si>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</si>
  <si>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</si>
  <si>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</si>
  <si>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</si>
  <si>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</si>
  <si>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</si>
  <si>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</si>
  <si>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</si>
  <si>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</si>
  <si>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</si>
  <si>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</si>
  <si>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</si>
  <si>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</si>
  <si>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</si>
  <si>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 xml:space="preserve">Cost Price (R)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</si>
</sst>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6">
    <font>
      <sz val="11.000000"/>
      <color theme="1"/>
      <name val="Calibri"/>
    </font>
    <font>
      <sz val="10.000000"/>
      <name val="Arial"/>
    </font>
    <font>
      <b/>
      <sz val="14.000000"/>
      <color rgb="FF1F3864"/>
      <name val="Arial"/>
    </font>
    <font>
      <sz val="11.000000"/>
      <name val="Arial"/>
    </font>
    <font>
      <b/>
      <sz val="11.000000"/>
      <color rgb="FF1F3864"/>
      <name val="Arial"/>
    </font>
    <font>
      <b/>
      <sz val="10.000000"/>
      <color indexed="65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3"/>
      </patternFill>
    </fill>
    <fill>
      <patternFill patternType="solid">
        <fgColor theme="0" tint="0"/>
        <bgColor theme="0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5">
    <xf fontId="0" fillId="0" borderId="0" numFmtId="0" xfId="0" applyProtection="0">
      <protection hidden="0" locked="1"/>
    </xf>
    <xf fontId="2" fillId="0" borderId="0" numFmtId="0" xfId="0" applyFont="1" applyAlignment="1" applyProtection="0">
      <alignment vertical="top" wrapText="1"/>
      <protection hidden="0" locked="1"/>
    </xf>
    <xf fontId="3" fillId="0" borderId="0" numFmtId="0" xfId="0" applyFont="1" applyAlignment="1" applyProtection="0">
      <alignment vertical="top" wrapText="1"/>
      <protection hidden="0" locked="1"/>
    </xf>
    <xf fontId="4" fillId="0" borderId="0" numFmtId="0" xfId="0" applyFont="1" applyAlignment="1" applyProtection="0">
      <alignment vertical="top" wrapText="1"/>
      <protection hidden="0" locked="1"/>
    </xf>
    <xf fontId="0" fillId="0" borderId="0" numFmtId="2" xfId="0" applyNumberFormat="1" applyProtection="0">
      <protection hidden="0" locked="1"/>
    </xf>
    <xf fontId="0" fillId="0" borderId="0" numFmtId="0" xfId="0" applyAlignment="1" applyProtection="0">
      <alignment horizontal="left"/>
      <protection hidden="0" locked="1"/>
    </xf>
    <xf fontId="5" fillId="2" borderId="0" numFmtId="0" xfId="0" applyFont="1" applyFill="1" applyAlignment="1" applyProtection="0">
      <alignment horizontal="center"/>
      <protection hidden="0" locked="1"/>
    </xf>
    <xf fontId="1" fillId="0" borderId="0" numFmtId="0" xfId="0" applyFont="1" applyProtection="0">
      <protection hidden="0" locked="1"/>
    </xf>
    <xf fontId="1" fillId="0" borderId="0" numFmtId="164" xfId="0" applyNumberFormat="1" applyFont="1" applyProtection="0">
      <protection hidden="0" locked="1"/>
    </xf>
    <xf fontId="1" fillId="0" borderId="0" numFmtId="3" xfId="0" applyNumberFormat="1" applyFont="1" applyProtection="0">
      <protection hidden="0" locked="1"/>
    </xf>
    <xf fontId="1" fillId="0" borderId="0" numFmtId="9" xfId="0" applyNumberFormat="1" applyFont="1" applyProtection="0">
      <protection hidden="0" locked="1"/>
    </xf>
    <xf fontId="1" fillId="0" borderId="0" numFmtId="4" xfId="0" applyNumberFormat="1" applyFont="1" applyProtection="0">
      <protection hidden="0" locked="1"/>
    </xf>
    <xf fontId="0" fillId="0" borderId="0" numFmtId="4" xfId="0" applyNumberFormat="1" applyProtection="0">
      <protection hidden="0" locked="1"/>
    </xf>
    <xf fontId="0" fillId="3" borderId="0" numFmtId="0" xfId="0" applyFill="1" applyProtection="0">
      <protection hidden="0" locked="1"/>
    </xf>
    <xf fontId="0" fillId="3" borderId="0" numFmtId="4" xfId="0" applyNumberFormat="1" applyFill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pivotCacheDefinition" Target="pivotCache/pivotCacheDefinition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<?xml version="1.0" encoding="UTF-8" standalone="yes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<?xml version="1.0" encoding="UTF-8" standalone="yes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<?xml version="1.0" encoding="UTF-8" standalone="yes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'Tables Sheet'!$B$3</c:f>
              <c:strCache>
                <c:ptCount val="1"/>
                <c:pt idx="0">
                  <c:v>Sum of Revenue (R)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'Tables Sheet'!$A$4:$A$9</c:f>
              <c:strCache>
                <c:ptCount val="6"/>
                <c:pt idx="0">
                  <c:v>Free State</c:v>
                </c:pt>
                <c:pt idx="1">
                  <c:v>Eastern Cape</c:v>
                </c:pt>
                <c:pt idx="2">
                  <c:v>Limpopo</c:v>
                </c:pt>
                <c:pt idx="3">
                  <c:v>Western Cape</c:v>
                </c:pt>
                <c:pt idx="4">
                  <c:v>KwaZulu-Natal</c:v>
                </c:pt>
                <c:pt idx="5">
                  <c:v>Gauteng</c:v>
                </c:pt>
              </c:strCache>
            </c:strRef>
          </c:cat>
          <c:val>
            <c:numRef>
              <c:f>'Tables Sheet'!$B$4:$B$9</c:f>
              <c:numCache>
                <c:formatCode>General</c:formatCode>
                <c:ptCount val="6"/>
                <c:pt idx="0">
                  <c:v>247367.5</c:v>
                </c:pt>
                <c:pt idx="1">
                  <c:v>408069.75</c:v>
                </c:pt>
                <c:pt idx="2">
                  <c:v>452890</c:v>
                </c:pt>
                <c:pt idx="3">
                  <c:v>685785.25</c:v>
                </c:pt>
                <c:pt idx="4">
                  <c:v>805537</c:v>
                </c:pt>
                <c:pt idx="5">
                  <c:v>1489933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19"/>
        <c:overlap val="-26"/>
        <c:axId val="1866169475"/>
        <c:axId val="1866169476"/>
      </c:barChart>
      <c:catAx>
        <c:axId val="1866169475"/>
        <c:scaling>
          <c:orientation val="minMax"/>
        </c:scaling>
        <c:delete val="0"/>
        <c:axPos val="b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76"/>
        <c:crosses val="autoZero"/>
        <c:auto val="1"/>
        <c:lblAlgn val="ctr"/>
        <c:lblOffset val="100"/>
        <c:noMultiLvlLbl val="0"/>
      </c:catAx>
      <c:valAx>
        <c:axId val="186616947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7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42862" y="2190749"/>
      <a:ext cx="2957512" cy="20002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doughnutChart>
        <c:varyColors val="1"/>
        <c:ser>
          <c:idx val="0"/>
          <c:order val="0"/>
          <c:tx>
            <c:strRef>
              <c:f>'Tables Sheet'!$E$3</c:f>
              <c:strCache>
                <c:ptCount val="1"/>
                <c:pt idx="0">
                  <c:v>Sum of Revenue (R)</c:v>
                </c:pt>
              </c:strCache>
            </c:strRef>
          </c:tx>
          <c:dPt>
            <c:idx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</c:spPr>
          </c:dPt>
          <c:cat>
            <c:strRef>
              <c:f>'Tables Sheet'!$D$4:$D$7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'Tables Sheet'!$E$4:$E$7</c:f>
              <c:numCache>
                <c:formatCode>General</c:formatCode>
                <c:ptCount val="4"/>
                <c:pt idx="0">
                  <c:v>155812</c:v>
                </c:pt>
                <c:pt idx="1">
                  <c:v>2845582.5</c:v>
                </c:pt>
                <c:pt idx="2">
                  <c:v>740660</c:v>
                </c:pt>
                <c:pt idx="3">
                  <c:v>347528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firstSliceAng val="0"/>
        <c:holeSize val="75"/>
      </c:doughnutChart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3133724" y="2190749"/>
      <a:ext cx="2152649" cy="162877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bar"/>
        <c:grouping val="clustered"/>
        <c:varyColors val="0"/>
        <c:ser>
          <c:idx val="0"/>
          <c:order val="0"/>
          <c:tx>
            <c:strRef>
              <c:f>'Tables Sheet'!$K$3</c:f>
              <c:strCache>
                <c:ptCount val="1"/>
                <c:pt idx="0">
                  <c:v>Sum of Revenue (R)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'Tables Sheet'!$J$4:$J$8</c:f>
              <c:strCache>
                <c:ptCount val="5"/>
                <c:pt idx="0">
                  <c:v>Desk</c:v>
                </c:pt>
                <c:pt idx="1">
                  <c:v>Smartwatch</c:v>
                </c:pt>
                <c:pt idx="2">
                  <c:v>Tablet</c:v>
                </c:pt>
                <c:pt idx="3">
                  <c:v>Smartphone</c:v>
                </c:pt>
                <c:pt idx="4">
                  <c:v>Laptop</c:v>
                </c:pt>
              </c:strCache>
            </c:strRef>
          </c:cat>
          <c:val>
            <c:numRef>
              <c:f>'Tables Sheet'!$K$4:$K$8</c:f>
              <c:numCache>
                <c:formatCode>General</c:formatCode>
                <c:ptCount val="5"/>
                <c:pt idx="0">
                  <c:v>301140</c:v>
                </c:pt>
                <c:pt idx="1">
                  <c:v>344565</c:v>
                </c:pt>
                <c:pt idx="2">
                  <c:v>530820</c:v>
                </c:pt>
                <c:pt idx="3">
                  <c:v>806060</c:v>
                </c:pt>
                <c:pt idx="4">
                  <c:v>1041250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82"/>
        <c:axId val="1866169477"/>
        <c:axId val="1866169478"/>
      </c:barChart>
      <c:catAx>
        <c:axId val="1866169477"/>
        <c:scaling>
          <c:orientation val="minMax"/>
        </c:scaling>
        <c:delete val="0"/>
        <c:axPos val="l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78"/>
        <c:crosses val="autoZero"/>
        <c:auto val="1"/>
        <c:lblAlgn val="ctr"/>
        <c:lblOffset val="100"/>
        <c:noMultiLvlLbl val="0"/>
      </c:catAx>
      <c:valAx>
        <c:axId val="1866169478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7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7448549" y="2095499"/>
      <a:ext cx="2867024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cked"/>
        <c:varyColors val="0"/>
        <c:ser>
          <c:idx val="0"/>
          <c:order val="0"/>
          <c:tx>
            <c:strRef>
              <c:f>'Tables Sheet'!$O$3</c:f>
              <c:strCache>
                <c:ptCount val="1"/>
                <c:pt idx="0">
                  <c:v>Revenue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strRef>
              <c:f>'Tables Sheet'!$N$4:$N$15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'Tables Sheet'!$O$4:$O$15</c:f>
              <c:numCache>
                <c:formatCode>0.00</c:formatCode>
                <c:ptCount val="12"/>
                <c:pt idx="0">
                  <c:v>365541.25</c:v>
                </c:pt>
                <c:pt idx="1">
                  <c:v>439157</c:v>
                </c:pt>
                <c:pt idx="2">
                  <c:v>299311.75</c:v>
                </c:pt>
                <c:pt idx="3">
                  <c:v>270559.5</c:v>
                </c:pt>
                <c:pt idx="4">
                  <c:v>283627</c:v>
                </c:pt>
                <c:pt idx="5">
                  <c:v>283461</c:v>
                </c:pt>
                <c:pt idx="6">
                  <c:v>341656</c:v>
                </c:pt>
                <c:pt idx="7">
                  <c:v>344199</c:v>
                </c:pt>
                <c:pt idx="8">
                  <c:v>415177</c:v>
                </c:pt>
                <c:pt idx="9">
                  <c:v>431910.25</c:v>
                </c:pt>
                <c:pt idx="10">
                  <c:v>308315.5</c:v>
                </c:pt>
                <c:pt idx="11">
                  <c:v>306667.25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0"/>
        <c:smooth val="0"/>
        <c:axId val="1866169481"/>
        <c:axId val="1866169482"/>
      </c:lineChart>
      <c:catAx>
        <c:axId val="1866169481"/>
        <c:scaling>
          <c:orientation val="minMax"/>
        </c:scaling>
        <c:delete val="0"/>
        <c:axPos val="b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82"/>
        <c:crosses val="autoZero"/>
        <c:auto val="1"/>
        <c:lblAlgn val="ctr"/>
        <c:lblOffset val="100"/>
        <c:noMultiLvlLbl val="0"/>
      </c:catAx>
      <c:valAx>
        <c:axId val="186616948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8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 bwMode="auto">
    <a:xfrm rot="0">
      <a:off x="10572749" y="2683668"/>
      <a:ext cx="2867024" cy="2271712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9230"/>
          <c:y val="0.099330"/>
          <c:w val="0.762790"/>
          <c:h val="0.289270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'Tables Sheet'!$B$3</c:f>
              <c:strCache>
                <c:ptCount val="1"/>
                <c:pt idx="0">
                  <c:v>Sum of Revenue (R)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'Tables Sheet'!$A$4:$A$9</c:f>
              <c:strCache>
                <c:ptCount val="6"/>
                <c:pt idx="0">
                  <c:v>Free State</c:v>
                </c:pt>
                <c:pt idx="1">
                  <c:v>Eastern Cape</c:v>
                </c:pt>
                <c:pt idx="2">
                  <c:v>Limpopo</c:v>
                </c:pt>
                <c:pt idx="3">
                  <c:v>Western Cape</c:v>
                </c:pt>
                <c:pt idx="4">
                  <c:v>KwaZulu-Natal</c:v>
                </c:pt>
                <c:pt idx="5">
                  <c:v>Gauteng</c:v>
                </c:pt>
              </c:strCache>
            </c:strRef>
          </c:cat>
          <c:val>
            <c:numRef>
              <c:f>'Tables Sheet'!$B$4:$B$9</c:f>
              <c:numCache>
                <c:formatCode>General</c:formatCode>
                <c:ptCount val="6"/>
                <c:pt idx="0">
                  <c:v>247367.5</c:v>
                </c:pt>
                <c:pt idx="1">
                  <c:v>408069.75</c:v>
                </c:pt>
                <c:pt idx="2">
                  <c:v>452890</c:v>
                </c:pt>
                <c:pt idx="3">
                  <c:v>685785.25</c:v>
                </c:pt>
                <c:pt idx="4">
                  <c:v>805537</c:v>
                </c:pt>
                <c:pt idx="5">
                  <c:v>1489933</c:v>
                </c:pt>
              </c:numCache>
            </c:numRef>
          </c:val>
        </c:ser>
        <c:gapWidth val="219"/>
        <c:overlap val="-26"/>
        <c:axId val="1866169487"/>
        <c:axId val="1866169488"/>
      </c:barChart>
      <c:catAx>
        <c:axId val="18661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88"/>
        <c:crosses val="autoZero"/>
        <c:auto val="1"/>
        <c:lblAlgn val="ctr"/>
        <c:lblOffset val="100"/>
        <c:tickMarkSkip val="1"/>
        <c:noMultiLvlLbl val="0"/>
      </c:catAx>
      <c:valAx>
        <c:axId val="186616948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8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>
      <a:off x="514349" y="1466849"/>
      <a:ext cx="3562349" cy="1095374"/>
    </a:xfrm>
    <a:prstGeom prst="rect">
      <a:avLst/>
    </a:prstGeom>
    <a:solidFill>
      <a:schemeClr val="bg1"/>
    </a:solidFill>
    <a:ln w="9525" cap="flat" cmpd="sng" algn="ctr">
      <a:noFill/>
      <a:prstDash val="solid"/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lineChart>
        <c:grouping val="stacked"/>
        <c:varyColors val="0"/>
        <c:ser>
          <c:idx val="0"/>
          <c:order val="0"/>
          <c:tx>
            <c:strRef>
              <c:f>'Tables Sheet'!$O$3</c:f>
              <c:strCache>
                <c:ptCount val="1"/>
                <c:pt idx="0">
                  <c:v>Revenue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12700" cap="rnd" cmpd="sng" algn="ctr">
              <a:solidFill>
                <a:schemeClr val="accent3">
                  <a:alpha val="99999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'Tables Sheet'!$N$4:$N$15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'Tables Sheet'!$O$4:$O$15</c:f>
              <c:numCache>
                <c:formatCode>0.00</c:formatCode>
                <c:ptCount val="12"/>
                <c:pt idx="0">
                  <c:v>365541.25</c:v>
                </c:pt>
                <c:pt idx="1">
                  <c:v>439157</c:v>
                </c:pt>
                <c:pt idx="2">
                  <c:v>299311.75</c:v>
                </c:pt>
                <c:pt idx="3">
                  <c:v>270559.5</c:v>
                </c:pt>
                <c:pt idx="4">
                  <c:v>283627</c:v>
                </c:pt>
                <c:pt idx="5">
                  <c:v>283461</c:v>
                </c:pt>
                <c:pt idx="6">
                  <c:v>341656</c:v>
                </c:pt>
                <c:pt idx="7">
                  <c:v>344199</c:v>
                </c:pt>
                <c:pt idx="8">
                  <c:v>415177</c:v>
                </c:pt>
                <c:pt idx="9">
                  <c:v>431910.25</c:v>
                </c:pt>
                <c:pt idx="10">
                  <c:v>308315.5</c:v>
                </c:pt>
                <c:pt idx="11">
                  <c:v>306667.25</c:v>
                </c:pt>
              </c:numCache>
            </c:numRef>
          </c:val>
          <c:smooth val="0"/>
        </c:ser>
        <c:marker val="0"/>
        <c:smooth val="0"/>
        <c:axId val="1866169491"/>
        <c:axId val="1866169492"/>
      </c:lineChart>
      <c:catAx>
        <c:axId val="186616949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92"/>
        <c:crosses val="autoZero"/>
        <c:auto val="1"/>
        <c:lblAlgn val="ctr"/>
        <c:lblOffset val="100"/>
        <c:tickMarkSkip val="1"/>
        <c:noMultiLvlLbl val="0"/>
      </c:catAx>
      <c:valAx>
        <c:axId val="186616949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91"/>
        <c:crosses val="autoZero"/>
        <c:crossBetween val="between"/>
      </c:valAx>
      <c:spPr bwMode="auto">
        <a:prstGeom prst="rect">
          <a:avLst/>
        </a:prstGeom>
        <a:noFill/>
        <a:ln w="38100">
          <a:noFill/>
          <a:prstDash val="solid"/>
        </a:ln>
      </c:spPr>
    </c:plotArea>
    <c:plotVisOnly val="1"/>
    <c:dispBlanksAs val="zero"/>
    <c:showDLblsOverMax val="0"/>
  </c:chart>
  <c:spPr bwMode="auto">
    <a:xfrm rot="0">
      <a:off x="514349" y="2990849"/>
      <a:ext cx="3629024" cy="1228725"/>
    </a:xfrm>
    <a:prstGeom prst="rect">
      <a:avLst/>
    </a:prstGeom>
    <a:solidFill>
      <a:schemeClr val="bg1"/>
    </a:solidFill>
    <a:ln w="9525" cap="flat" cmpd="sng" algn="ctr">
      <a:noFill/>
      <a:prstDash val="solid"/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doughnutChart>
        <c:varyColors val="1"/>
        <c:ser>
          <c:idx val="0"/>
          <c:order val="0"/>
          <c:tx>
            <c:strRef>
              <c:f>'Tables Sheet'!$E$3</c:f>
              <c:strCache>
                <c:ptCount val="1"/>
                <c:pt idx="0">
                  <c:v>Sum of Revenue (R)</c:v>
                </c:pt>
              </c:strCache>
            </c:strRef>
          </c:tx>
          <c:dPt>
            <c:idx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</c:spPr>
          </c:dPt>
          <c:cat>
            <c:strRef>
              <c:f>'Tables Sheet'!$D$4:$D$7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'Tables Sheet'!$E$4:$E$7</c:f>
              <c:numCache>
                <c:formatCode>General</c:formatCode>
                <c:ptCount val="4"/>
                <c:pt idx="0">
                  <c:v>155812</c:v>
                </c:pt>
                <c:pt idx="1">
                  <c:v>2845582.5</c:v>
                </c:pt>
                <c:pt idx="2">
                  <c:v>740660</c:v>
                </c:pt>
                <c:pt idx="3">
                  <c:v>347528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firstSliceAng val="0"/>
        <c:holeSize val="75"/>
      </c:doughnutChart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5181599" y="1466849"/>
      <a:ext cx="2419349" cy="990599"/>
    </a:xfrm>
    <a:prstGeom prst="rect">
      <a:avLst/>
    </a:prstGeom>
    <a:solidFill>
      <a:schemeClr val="bg1"/>
    </a:solidFill>
    <a:ln w="9525" cap="flat" cmpd="sng" algn="ctr">
      <a:noFill/>
      <a:prstDash val="solid"/>
      <a:round/>
    </a:ln>
  </c:spPr>
  <c:txPr>
    <a:bodyPr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barChart>
        <c:barDir val="bar"/>
        <c:grouping val="clustered"/>
        <c:varyColors val="0"/>
        <c:ser>
          <c:idx val="0"/>
          <c:order val="0"/>
          <c:tx>
            <c:strRef>
              <c:f>'Tables Sheet'!$K$3</c:f>
              <c:strCache>
                <c:ptCount val="1"/>
                <c:pt idx="0">
                  <c:v>Sum of Revenue (R)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'Tables Sheet'!$J$4:$J$8</c:f>
              <c:strCache>
                <c:ptCount val="5"/>
                <c:pt idx="0">
                  <c:v>Desk</c:v>
                </c:pt>
                <c:pt idx="1">
                  <c:v>Smartwatch</c:v>
                </c:pt>
                <c:pt idx="2">
                  <c:v>Tablet</c:v>
                </c:pt>
                <c:pt idx="3">
                  <c:v>Smartphone</c:v>
                </c:pt>
                <c:pt idx="4">
                  <c:v>Laptop</c:v>
                </c:pt>
              </c:strCache>
            </c:strRef>
          </c:cat>
          <c:val>
            <c:numRef>
              <c:f>'Tables Sheet'!$K$4:$K$8</c:f>
              <c:numCache>
                <c:formatCode>General</c:formatCode>
                <c:ptCount val="5"/>
                <c:pt idx="0">
                  <c:v>301140</c:v>
                </c:pt>
                <c:pt idx="1">
                  <c:v>344565</c:v>
                </c:pt>
                <c:pt idx="2">
                  <c:v>530820</c:v>
                </c:pt>
                <c:pt idx="3">
                  <c:v>806060</c:v>
                </c:pt>
                <c:pt idx="4">
                  <c:v>1041250</c:v>
                </c:pt>
              </c:numCache>
            </c:numRef>
          </c:val>
        </c:ser>
        <c:gapWidth val="182"/>
        <c:axId val="1866169497"/>
        <c:axId val="1866169498"/>
      </c:barChart>
      <c:catAx>
        <c:axId val="186616949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98"/>
        <c:crosses val="autoZero"/>
        <c:auto val="1"/>
        <c:lblAlgn val="ctr"/>
        <c:lblOffset val="100"/>
        <c:tickMarkSkip val="1"/>
        <c:noMultiLvlLbl val="0"/>
      </c:catAx>
      <c:valAx>
        <c:axId val="1866169498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9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>
      <a:off x="4733924" y="3095624"/>
      <a:ext cx="3552823" cy="1266823"/>
    </a:xfrm>
    <a:prstGeom prst="rect">
      <a:avLst/>
    </a:prstGeom>
    <a:solidFill>
      <a:schemeClr val="bg1"/>
    </a:solidFill>
    <a:ln w="9525" cap="flat" cmpd="sng" algn="ctr">
      <a:noFill/>
      <a:prstDash val="solid"/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 /><Relationship Id="rId2" Type="http://schemas.openxmlformats.org/officeDocument/2006/relationships/chart" Target="../charts/chart6.xml" /><Relationship Id="rId3" Type="http://schemas.openxmlformats.org/officeDocument/2006/relationships/chart" Target="../charts/chart7.xml" /><Relationship Id="rId4" Type="http://schemas.openxmlformats.org/officeDocument/2006/relationships/chart" Target="../charts/chart8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42861</xdr:colOff>
      <xdr:row>12</xdr:row>
      <xdr:rowOff>19049</xdr:rowOff>
    </xdr:from>
    <xdr:to>
      <xdr:col>3</xdr:col>
      <xdr:colOff>342899</xdr:colOff>
      <xdr:row>23</xdr:row>
      <xdr:rowOff>28574</xdr:rowOff>
    </xdr:to>
    <xdr:graphicFrame>
      <xdr:nvGraphicFramePr>
        <xdr:cNvPr id="1806584574" name=""/>
        <xdr:cNvGraphicFramePr>
          <a:graphicFrameLocks xmlns:a="http://schemas.openxmlformats.org/drawingml/2006/main"/>
        </xdr:cNvGraphicFramePr>
      </xdr:nvGraphicFramePr>
      <xdr:xfrm rot="0">
        <a:off x="42862" y="2190749"/>
        <a:ext cx="2957512" cy="200024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3</xdr:col>
      <xdr:colOff>476249</xdr:colOff>
      <xdr:row>12</xdr:row>
      <xdr:rowOff>19049</xdr:rowOff>
    </xdr:from>
    <xdr:to>
      <xdr:col>5</xdr:col>
      <xdr:colOff>590549</xdr:colOff>
      <xdr:row>21</xdr:row>
      <xdr:rowOff>19049</xdr:rowOff>
    </xdr:to>
    <xdr:graphicFrame>
      <xdr:nvGraphicFramePr>
        <xdr:cNvPr id="1698088559" name=""/>
        <xdr:cNvGraphicFramePr>
          <a:graphicFrameLocks xmlns:a="http://schemas.openxmlformats.org/drawingml/2006/main"/>
        </xdr:cNvGraphicFramePr>
      </xdr:nvGraphicFramePr>
      <xdr:xfrm rot="0">
        <a:off x="3133724" y="2190749"/>
        <a:ext cx="2152649" cy="162877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8</xdr:col>
      <xdr:colOff>104774</xdr:colOff>
      <xdr:row>11</xdr:row>
      <xdr:rowOff>104774</xdr:rowOff>
    </xdr:from>
    <xdr:to>
      <xdr:col>11</xdr:col>
      <xdr:colOff>323849</xdr:colOff>
      <xdr:row>26</xdr:row>
      <xdr:rowOff>114299</xdr:rowOff>
    </xdr:to>
    <xdr:graphicFrame>
      <xdr:nvGraphicFramePr>
        <xdr:cNvPr id="162961919" name=""/>
        <xdr:cNvGraphicFramePr>
          <a:graphicFrameLocks xmlns:a="http://schemas.openxmlformats.org/drawingml/2006/main"/>
        </xdr:cNvGraphicFramePr>
      </xdr:nvGraphicFramePr>
      <xdr:xfrm rot="0">
        <a:off x="7448549" y="2095499"/>
        <a:ext cx="2867024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11</xdr:col>
      <xdr:colOff>581024</xdr:colOff>
      <xdr:row>14</xdr:row>
      <xdr:rowOff>150018</xdr:rowOff>
    </xdr:from>
    <xdr:to>
      <xdr:col>16</xdr:col>
      <xdr:colOff>304798</xdr:colOff>
      <xdr:row>27</xdr:row>
      <xdr:rowOff>69055</xdr:rowOff>
    </xdr:to>
    <xdr:graphicFrame>
      <xdr:nvGraphicFramePr>
        <xdr:cNvPr id="88252850" name=""/>
        <xdr:cNvGraphicFramePr>
          <a:graphicFrameLocks xmlns:a="http://schemas.openxmlformats.org/drawingml/2006/main"/>
        </xdr:cNvGraphicFramePr>
      </xdr:nvGraphicFramePr>
      <xdr:xfrm rot="0">
        <a:off x="10572749" y="2683668"/>
        <a:ext cx="2867024" cy="2271712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333373</xdr:colOff>
      <xdr:row>0</xdr:row>
      <xdr:rowOff>85722</xdr:rowOff>
    </xdr:from>
    <xdr:to>
      <xdr:col>13</xdr:col>
      <xdr:colOff>228598</xdr:colOff>
      <xdr:row>2</xdr:row>
      <xdr:rowOff>114297</xdr:rowOff>
    </xdr:to>
    <xdr:sp>
      <xdr:nvSpPr>
        <xdr:cNvPr id="299071415" name=""/>
        <xdr:cNvSpPr/>
      </xdr:nvSpPr>
      <xdr:spPr bwMode="auto">
        <a:xfrm rot="0" flipH="0" flipV="0">
          <a:off x="333373" y="85722"/>
          <a:ext cx="8124824" cy="390524"/>
        </a:xfrm>
        <a:prstGeom prst="flowChartAlternateProcess">
          <a:avLst/>
        </a:prstGeom>
        <a:solidFill>
          <a:schemeClr val="bg1"/>
        </a:solidFill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sz="1800" b="1">
              <a:solidFill>
                <a:srgbClr val="000000"/>
              </a:solidFill>
            </a:rPr>
            <a:t>                                                </a:t>
          </a:r>
          <a:r>
            <a:rPr sz="1800" b="1">
              <a:solidFill>
                <a:schemeClr val="bg1"/>
              </a:solidFill>
            </a:rPr>
            <a:t>  </a:t>
          </a:r>
          <a:r>
            <a:rPr sz="1800" b="1">
              <a:solidFill>
                <a:schemeClr val="accent3">
                  <a:lumMod val="50000"/>
                </a:schemeClr>
              </a:solidFill>
            </a:rPr>
            <a:t>RETAIL SALES 2025</a:t>
          </a:r>
          <a:endParaRPr/>
        </a:p>
      </xdr:txBody>
    </xdr:sp>
    <xdr:clientData/>
  </xdr:twoCellAnchor>
  <xdr:twoCellAnchor editAs="twoCell">
    <xdr:from>
      <xdr:col>0</xdr:col>
      <xdr:colOff>333373</xdr:colOff>
      <xdr:row>2</xdr:row>
      <xdr:rowOff>180974</xdr:rowOff>
    </xdr:from>
    <xdr:to>
      <xdr:col>3</xdr:col>
      <xdr:colOff>347660</xdr:colOff>
      <xdr:row>5</xdr:row>
      <xdr:rowOff>152397</xdr:rowOff>
    </xdr:to>
    <xdr:sp>
      <xdr:nvSpPr>
        <xdr:cNvPr id="48842137" name=""/>
        <xdr:cNvSpPr/>
      </xdr:nvSpPr>
      <xdr:spPr bwMode="auto">
        <a:xfrm rot="0" flipH="0" flipV="0">
          <a:off x="333373" y="542924"/>
          <a:ext cx="1995486" cy="514347"/>
        </a:xfrm>
        <a:prstGeom prst="flowChartAlternateProcess">
          <a:avLst/>
        </a:prstGeom>
        <a:solidFill>
          <a:schemeClr val="accent3"/>
        </a:solidFill>
        <a:ln w="6350" cap="flat" cmpd="sng" algn="ctr">
          <a:solidFill>
            <a:schemeClr val="accent1">
              <a:lumMod val="50000"/>
            </a:schemeClr>
          </a:solidFill>
          <a:prstDash val="solid"/>
        </a:ln>
        <a:effectLst>
          <a:outerShdw blurRad="508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sz="1100" b="1">
              <a:solidFill>
                <a:srgbClr val="000000"/>
              </a:solidFill>
            </a:rPr>
            <a:t>          </a:t>
          </a:r>
          <a:r>
            <a:rPr sz="1100" b="1">
              <a:solidFill>
                <a:schemeClr val="bg1"/>
              </a:solidFill>
            </a:rPr>
            <a:t> Total Revenue</a:t>
          </a:r>
          <a:endParaRPr>
            <a:solidFill>
              <a:schemeClr val="bg1"/>
            </a:solidFill>
          </a:endParaRPr>
        </a:p>
        <a:p>
          <a:pPr>
            <a:defRPr/>
          </a:pPr>
          <a:r>
            <a:rPr>
              <a:solidFill>
                <a:schemeClr val="bg1"/>
              </a:solidFill>
            </a:rPr>
            <a:t>            </a:t>
          </a:r>
          <a:r>
            <a:rPr sz="1600" b="1">
              <a:solidFill>
                <a:schemeClr val="bg1"/>
              </a:solidFill>
            </a:rPr>
            <a:t> </a:t>
          </a:r>
          <a:r>
            <a:rPr sz="1200" b="1">
              <a:solidFill>
                <a:schemeClr val="bg1"/>
              </a:solidFill>
            </a:rPr>
            <a:t>R 4,089,582.50</a:t>
          </a:r>
          <a:endParaRPr/>
        </a:p>
      </xdr:txBody>
    </xdr:sp>
    <xdr:clientData/>
  </xdr:twoCellAnchor>
  <xdr:twoCellAnchor editAs="twoCell">
    <xdr:from>
      <xdr:col>3</xdr:col>
      <xdr:colOff>495297</xdr:colOff>
      <xdr:row>2</xdr:row>
      <xdr:rowOff>180974</xdr:rowOff>
    </xdr:from>
    <xdr:to>
      <xdr:col>6</xdr:col>
      <xdr:colOff>485771</xdr:colOff>
      <xdr:row>5</xdr:row>
      <xdr:rowOff>152398</xdr:rowOff>
    </xdr:to>
    <xdr:sp>
      <xdr:nvSpPr>
        <xdr:cNvPr id="1820841610" name=""/>
        <xdr:cNvSpPr/>
      </xdr:nvSpPr>
      <xdr:spPr bwMode="auto">
        <a:xfrm rot="0" flipH="0" flipV="0">
          <a:off x="2476497" y="542924"/>
          <a:ext cx="1819273" cy="514348"/>
        </a:xfrm>
        <a:prstGeom prst="flowChartAlternateProcess">
          <a:avLst/>
        </a:prstGeom>
        <a:solidFill>
          <a:schemeClr val="accent3"/>
        </a:solidFill>
        <a:ln w="6350" cap="flat" cmpd="sng" algn="ctr">
          <a:solidFill>
            <a:schemeClr val="accent1">
              <a:lumMod val="50000"/>
            </a:schemeClr>
          </a:solidFill>
          <a:prstDash val="solid"/>
        </a:ln>
        <a:effectLst>
          <a:outerShdw blurRad="508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sz="1100" b="1">
              <a:solidFill>
                <a:srgbClr val="000000"/>
              </a:solidFill>
            </a:rPr>
            <a:t>            </a:t>
          </a:r>
          <a:r>
            <a:rPr sz="1100" b="1">
              <a:solidFill>
                <a:schemeClr val="bg1"/>
              </a:solidFill>
            </a:rPr>
            <a:t>Total Orders</a:t>
          </a:r>
          <a:endParaRPr>
            <a:solidFill>
              <a:schemeClr val="bg1"/>
            </a:solidFill>
          </a:endParaRPr>
        </a:p>
        <a:p>
          <a:pPr>
            <a:defRPr/>
          </a:pPr>
          <a:r>
            <a:rPr b="1">
              <a:solidFill>
                <a:schemeClr val="bg1"/>
              </a:solidFill>
            </a:rPr>
            <a:t>                    </a:t>
          </a:r>
          <a:r>
            <a:rPr sz="1200" b="1">
              <a:solidFill>
                <a:schemeClr val="bg1"/>
              </a:solidFill>
            </a:rPr>
            <a:t>600</a:t>
          </a:r>
          <a:endParaRPr/>
        </a:p>
      </xdr:txBody>
    </xdr:sp>
    <xdr:clientData/>
  </xdr:twoCellAnchor>
  <xdr:twoCellAnchor editAs="twoCell">
    <xdr:from>
      <xdr:col>6</xdr:col>
      <xdr:colOff>609596</xdr:colOff>
      <xdr:row>2</xdr:row>
      <xdr:rowOff>180974</xdr:rowOff>
    </xdr:from>
    <xdr:to>
      <xdr:col>9</xdr:col>
      <xdr:colOff>552447</xdr:colOff>
      <xdr:row>5</xdr:row>
      <xdr:rowOff>152398</xdr:rowOff>
    </xdr:to>
    <xdr:sp>
      <xdr:nvSpPr>
        <xdr:cNvPr id="887458283" name=""/>
        <xdr:cNvSpPr/>
      </xdr:nvSpPr>
      <xdr:spPr bwMode="auto">
        <a:xfrm rot="0" flipH="0" flipV="0">
          <a:off x="4419596" y="542924"/>
          <a:ext cx="1771650" cy="514348"/>
        </a:xfrm>
        <a:prstGeom prst="flowChartAlternateProcess">
          <a:avLst/>
        </a:prstGeom>
        <a:solidFill>
          <a:schemeClr val="accent3"/>
        </a:solidFill>
        <a:ln w="6350" cap="flat" cmpd="sng" algn="ctr">
          <a:solidFill>
            <a:schemeClr val="accent1">
              <a:lumMod val="50000"/>
            </a:schemeClr>
          </a:solidFill>
          <a:prstDash val="solid"/>
        </a:ln>
        <a:effectLst>
          <a:outerShdw blurRad="508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sz="1100" b="1">
              <a:solidFill>
                <a:srgbClr val="000000"/>
              </a:solidFill>
            </a:rPr>
            <a:t>  </a:t>
          </a:r>
          <a:r>
            <a:rPr sz="1100" b="1">
              <a:solidFill>
                <a:schemeClr val="bg1"/>
              </a:solidFill>
            </a:rPr>
            <a:t>  Average Order Value</a:t>
          </a:r>
          <a:endParaRPr>
            <a:solidFill>
              <a:schemeClr val="bg1"/>
            </a:solidFill>
          </a:endParaRPr>
        </a:p>
        <a:p>
          <a:pPr>
            <a:defRPr/>
          </a:pPr>
          <a:r>
            <a:rPr>
              <a:solidFill>
                <a:schemeClr val="bg1"/>
              </a:solidFill>
            </a:rPr>
            <a:t>           </a:t>
          </a:r>
          <a:r>
            <a:rPr b="1">
              <a:solidFill>
                <a:schemeClr val="bg1"/>
              </a:solidFill>
            </a:rPr>
            <a:t> </a:t>
          </a:r>
          <a:r>
            <a:rPr sz="1200" b="1">
              <a:solidFill>
                <a:schemeClr val="bg1"/>
              </a:solidFill>
            </a:rPr>
            <a:t>R 6,815.97</a:t>
          </a:r>
          <a:endParaRPr/>
        </a:p>
      </xdr:txBody>
    </xdr:sp>
    <xdr:clientData/>
  </xdr:twoCellAnchor>
  <xdr:twoCellAnchor editAs="twoCell">
    <xdr:from>
      <xdr:col>10</xdr:col>
      <xdr:colOff>76197</xdr:colOff>
      <xdr:row>2</xdr:row>
      <xdr:rowOff>180974</xdr:rowOff>
    </xdr:from>
    <xdr:to>
      <xdr:col>13</xdr:col>
      <xdr:colOff>223834</xdr:colOff>
      <xdr:row>5</xdr:row>
      <xdr:rowOff>152398</xdr:rowOff>
    </xdr:to>
    <xdr:sp>
      <xdr:nvSpPr>
        <xdr:cNvPr id="330250103" name=""/>
        <xdr:cNvSpPr/>
      </xdr:nvSpPr>
      <xdr:spPr bwMode="auto">
        <a:xfrm rot="0" flipH="0" flipV="0">
          <a:off x="6324597" y="542924"/>
          <a:ext cx="2128836" cy="514348"/>
        </a:xfrm>
        <a:prstGeom prst="flowChartAlternateProcess">
          <a:avLst/>
        </a:prstGeom>
        <a:solidFill>
          <a:schemeClr val="accent3"/>
        </a:solidFill>
        <a:ln w="6350" cap="flat" cmpd="sng" algn="ctr">
          <a:solidFill>
            <a:schemeClr val="accent1">
              <a:lumMod val="50000"/>
            </a:schemeClr>
          </a:solidFill>
          <a:prstDash val="solid"/>
        </a:ln>
        <a:effectLst>
          <a:outerShdw blurRad="508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sz="1100" b="1">
              <a:solidFill>
                <a:srgbClr val="000000"/>
              </a:solidFill>
            </a:rPr>
            <a:t>                </a:t>
          </a:r>
          <a:r>
            <a:rPr sz="1100" b="1">
              <a:solidFill>
                <a:schemeClr val="bg1"/>
              </a:solidFill>
            </a:rPr>
            <a:t> Total Profit</a:t>
          </a:r>
          <a:endParaRPr>
            <a:solidFill>
              <a:schemeClr val="bg1"/>
            </a:solidFill>
          </a:endParaRPr>
        </a:p>
        <a:p>
          <a:pPr>
            <a:defRPr/>
          </a:pPr>
          <a:r>
            <a:rPr>
              <a:solidFill>
                <a:schemeClr val="bg1"/>
              </a:solidFill>
            </a:rPr>
            <a:t>                   </a:t>
          </a:r>
          <a:r>
            <a:rPr sz="1200">
              <a:solidFill>
                <a:schemeClr val="bg1"/>
              </a:solidFill>
            </a:rPr>
            <a:t> </a:t>
          </a:r>
          <a:r>
            <a:rPr sz="1200" b="1">
              <a:solidFill>
                <a:schemeClr val="bg1"/>
              </a:solidFill>
            </a:rPr>
            <a:t>R 1,419,156.50</a:t>
          </a:r>
          <a:endParaRPr/>
        </a:p>
      </xdr:txBody>
    </xdr:sp>
    <xdr:clientData/>
  </xdr:twoCellAnchor>
  <xdr:twoCellAnchor editAs="twoCell">
    <xdr:from>
      <xdr:col>0</xdr:col>
      <xdr:colOff>295272</xdr:colOff>
      <xdr:row>6</xdr:row>
      <xdr:rowOff>76198</xdr:rowOff>
    </xdr:from>
    <xdr:to>
      <xdr:col>6</xdr:col>
      <xdr:colOff>485772</xdr:colOff>
      <xdr:row>14</xdr:row>
      <xdr:rowOff>76197</xdr:rowOff>
    </xdr:to>
    <xdr:sp>
      <xdr:nvSpPr>
        <xdr:cNvPr id="368437627" name=""/>
        <xdr:cNvSpPr/>
      </xdr:nvSpPr>
      <xdr:spPr bwMode="auto">
        <a:xfrm rot="0" flipH="0" flipV="0">
          <a:off x="295272" y="1162048"/>
          <a:ext cx="4000499" cy="1447798"/>
        </a:xfrm>
        <a:prstGeom prst="flowChartAlternateProcess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sz="1100" b="1"/>
            <a:t>                          </a:t>
          </a:r>
          <a:r>
            <a:rPr sz="1100" b="1">
              <a:solidFill>
                <a:schemeClr val="accent3">
                  <a:lumMod val="50000"/>
                </a:schemeClr>
              </a:solidFill>
            </a:rPr>
            <a:t>Revenue by Region (R)</a:t>
          </a:r>
          <a:endParaRPr/>
        </a:p>
      </xdr:txBody>
    </xdr:sp>
    <xdr:clientData/>
  </xdr:twoCellAnchor>
  <xdr:twoCellAnchor editAs="twoCell">
    <xdr:from>
      <xdr:col>0</xdr:col>
      <xdr:colOff>319084</xdr:colOff>
      <xdr:row>14</xdr:row>
      <xdr:rowOff>133347</xdr:rowOff>
    </xdr:from>
    <xdr:to>
      <xdr:col>6</xdr:col>
      <xdr:colOff>461958</xdr:colOff>
      <xdr:row>24</xdr:row>
      <xdr:rowOff>19048</xdr:rowOff>
    </xdr:to>
    <xdr:sp>
      <xdr:nvSpPr>
        <xdr:cNvPr id="1946620163" name=""/>
        <xdr:cNvSpPr/>
      </xdr:nvSpPr>
      <xdr:spPr bwMode="auto">
        <a:xfrm rot="0" flipH="0" flipV="0">
          <a:off x="319084" y="2666997"/>
          <a:ext cx="3952873" cy="1695450"/>
        </a:xfrm>
        <a:prstGeom prst="flowChartAlternateProcess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sz="1200" b="1"/>
            <a:t>                      </a:t>
          </a:r>
          <a:r>
            <a:rPr sz="1200" b="1">
              <a:solidFill>
                <a:srgbClr val="000000"/>
              </a:solidFill>
            </a:rPr>
            <a:t> </a:t>
          </a:r>
          <a:r>
            <a:rPr sz="1100" b="1">
              <a:solidFill>
                <a:schemeClr val="accent3">
                  <a:lumMod val="50000"/>
                </a:schemeClr>
              </a:solidFill>
            </a:rPr>
            <a:t>Revenue by Month (R)</a:t>
          </a:r>
          <a:endParaRPr/>
        </a:p>
      </xdr:txBody>
    </xdr:sp>
    <xdr:clientData/>
  </xdr:twoCellAnchor>
  <xdr:twoCellAnchor editAs="twoCell">
    <xdr:from>
      <xdr:col>7</xdr:col>
      <xdr:colOff>52384</xdr:colOff>
      <xdr:row>6</xdr:row>
      <xdr:rowOff>76197</xdr:rowOff>
    </xdr:from>
    <xdr:to>
      <xdr:col>13</xdr:col>
      <xdr:colOff>223834</xdr:colOff>
      <xdr:row>14</xdr:row>
      <xdr:rowOff>76196</xdr:rowOff>
    </xdr:to>
    <xdr:sp>
      <xdr:nvSpPr>
        <xdr:cNvPr id="1413170157" name=""/>
        <xdr:cNvSpPr/>
      </xdr:nvSpPr>
      <xdr:spPr bwMode="auto">
        <a:xfrm rot="0" flipH="0" flipV="0">
          <a:off x="4471985" y="1162047"/>
          <a:ext cx="3981449" cy="1447798"/>
        </a:xfrm>
        <a:prstGeom prst="flowChartAlternateProcess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sz="1200" b="1"/>
            <a:t>                     </a:t>
          </a:r>
          <a:r>
            <a:rPr sz="1100" b="1">
              <a:solidFill>
                <a:schemeClr val="accent3">
                  <a:lumMod val="50000"/>
                </a:schemeClr>
              </a:solidFill>
            </a:rPr>
            <a:t>Revenue by Category (R)</a:t>
          </a:r>
          <a:endParaRPr sz="1100" b="1">
            <a:solidFill>
              <a:srgbClr val="000000"/>
            </a:solidFill>
          </a:endParaRPr>
        </a:p>
        <a:p>
          <a:pPr>
            <a:defRPr/>
          </a:pPr>
          <a:endParaRPr/>
        </a:p>
      </xdr:txBody>
    </xdr:sp>
    <xdr:clientData/>
  </xdr:twoCellAnchor>
  <xdr:twoCellAnchor editAs="twoCell">
    <xdr:from>
      <xdr:col>6</xdr:col>
      <xdr:colOff>609597</xdr:colOff>
      <xdr:row>14</xdr:row>
      <xdr:rowOff>133347</xdr:rowOff>
    </xdr:from>
    <xdr:to>
      <xdr:col>13</xdr:col>
      <xdr:colOff>276223</xdr:colOff>
      <xdr:row>24</xdr:row>
      <xdr:rowOff>19048</xdr:rowOff>
    </xdr:to>
    <xdr:sp>
      <xdr:nvSpPr>
        <xdr:cNvPr id="407078742" name=""/>
        <xdr:cNvSpPr/>
      </xdr:nvSpPr>
      <xdr:spPr bwMode="auto">
        <a:xfrm rot="0" flipH="0" flipV="0">
          <a:off x="4419598" y="2666997"/>
          <a:ext cx="4086224" cy="1695450"/>
        </a:xfrm>
        <a:prstGeom prst="flowChartAlternateProcess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sz="1200" b="1"/>
            <a:t>                       </a:t>
          </a:r>
          <a:r>
            <a:rPr sz="1100" b="1"/>
            <a:t>  </a:t>
          </a:r>
          <a:r>
            <a:rPr sz="1100" b="1">
              <a:solidFill>
                <a:schemeClr val="accent3">
                  <a:lumMod val="50000"/>
                </a:schemeClr>
              </a:solidFill>
            </a:rPr>
            <a:t>Top 5 Products</a:t>
          </a:r>
          <a:endParaRPr/>
        </a:p>
      </xdr:txBody>
    </xdr:sp>
    <xdr:clientData/>
  </xdr:twoCellAnchor>
  <xdr:twoCellAnchor editAs="twoCell">
    <xdr:from>
      <xdr:col>0</xdr:col>
      <xdr:colOff>514349</xdr:colOff>
      <xdr:row>8</xdr:row>
      <xdr:rowOff>19049</xdr:rowOff>
    </xdr:from>
    <xdr:to>
      <xdr:col>6</xdr:col>
      <xdr:colOff>266699</xdr:colOff>
      <xdr:row>14</xdr:row>
      <xdr:rowOff>28574</xdr:rowOff>
    </xdr:to>
    <xdr:graphicFrame>
      <xdr:nvGraphicFramePr>
        <xdr:cNvPr id="1910609128" name=""/>
        <xdr:cNvGraphicFramePr>
          <a:graphicFrameLocks xmlns:a="http://schemas.openxmlformats.org/drawingml/2006/main"/>
        </xdr:cNvGraphicFramePr>
      </xdr:nvGraphicFramePr>
      <xdr:xfrm rot="0">
        <a:off x="514349" y="1466849"/>
        <a:ext cx="3562349" cy="109537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0</xdr:col>
      <xdr:colOff>514349</xdr:colOff>
      <xdr:row>16</xdr:row>
      <xdr:rowOff>95249</xdr:rowOff>
    </xdr:from>
    <xdr:to>
      <xdr:col>6</xdr:col>
      <xdr:colOff>333374</xdr:colOff>
      <xdr:row>23</xdr:row>
      <xdr:rowOff>57149</xdr:rowOff>
    </xdr:to>
    <xdr:graphicFrame>
      <xdr:nvGraphicFramePr>
        <xdr:cNvPr id="1608518540" name=""/>
        <xdr:cNvGraphicFramePr>
          <a:graphicFrameLocks xmlns:a="http://schemas.openxmlformats.org/drawingml/2006/main"/>
        </xdr:cNvGraphicFramePr>
      </xdr:nvGraphicFramePr>
      <xdr:xfrm rot="0">
        <a:off x="514349" y="2990849"/>
        <a:ext cx="3629024" cy="1228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8</xdr:col>
      <xdr:colOff>152399</xdr:colOff>
      <xdr:row>8</xdr:row>
      <xdr:rowOff>19049</xdr:rowOff>
    </xdr:from>
    <xdr:to>
      <xdr:col>11</xdr:col>
      <xdr:colOff>590549</xdr:colOff>
      <xdr:row>13</xdr:row>
      <xdr:rowOff>104774</xdr:rowOff>
    </xdr:to>
    <xdr:graphicFrame>
      <xdr:nvGraphicFramePr>
        <xdr:cNvPr id="1781546" name=""/>
        <xdr:cNvGraphicFramePr>
          <a:graphicFrameLocks xmlns:a="http://schemas.openxmlformats.org/drawingml/2006/main"/>
        </xdr:cNvGraphicFramePr>
      </xdr:nvGraphicFramePr>
      <xdr:xfrm rot="0">
        <a:off x="5181599" y="1466849"/>
        <a:ext cx="2419349" cy="99059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7</xdr:col>
      <xdr:colOff>314323</xdr:colOff>
      <xdr:row>17</xdr:row>
      <xdr:rowOff>19049</xdr:rowOff>
    </xdr:from>
    <xdr:to>
      <xdr:col>13</xdr:col>
      <xdr:colOff>57148</xdr:colOff>
      <xdr:row>24</xdr:row>
      <xdr:rowOff>19048</xdr:rowOff>
    </xdr:to>
    <xdr:graphicFrame>
      <xdr:nvGraphicFramePr>
        <xdr:cNvPr id="1923873413" name=""/>
        <xdr:cNvGraphicFramePr>
          <a:graphicFrameLocks xmlns:a="http://schemas.openxmlformats.org/drawingml/2006/main"/>
        </xdr:cNvGraphicFramePr>
      </xdr:nvGraphicFramePr>
      <xdr:xfrm rot="0">
        <a:off x="4733924" y="3095624"/>
        <a:ext cx="3552823" cy="1266823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twoCell">
    <xdr:from>
      <xdr:col>9</xdr:col>
      <xdr:colOff>409572</xdr:colOff>
      <xdr:row>0</xdr:row>
      <xdr:rowOff>152398</xdr:rowOff>
    </xdr:from>
    <xdr:to>
      <xdr:col>10</xdr:col>
      <xdr:colOff>628646</xdr:colOff>
      <xdr:row>2</xdr:row>
      <xdr:rowOff>114297</xdr:rowOff>
    </xdr:to>
    <xdr:sp>
      <xdr:nvSpPr>
        <xdr:cNvPr id="255395970" name=""/>
        <xdr:cNvSpPr/>
      </xdr:nvSpPr>
      <xdr:spPr bwMode="auto">
        <a:xfrm rot="0" flipH="0" flipV="0">
          <a:off x="6048372" y="152398"/>
          <a:ext cx="828674" cy="323849"/>
        </a:xfrm>
        <a:prstGeom prst="flowChartAlternateProcess">
          <a:avLst/>
        </a:prstGeom>
        <a:solidFill>
          <a:schemeClr val="accent3"/>
        </a:solidFill>
        <a:ln w="6350" cap="flat" cmpd="sng" algn="ctr">
          <a:solidFill>
            <a:schemeClr val="accent1">
              <a:lumMod val="50000"/>
            </a:schemeClr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b="1">
              <a:solidFill>
                <a:schemeClr val="accent3">
                  <a:lumMod val="50000"/>
                </a:schemeClr>
              </a:solidFill>
            </a:rPr>
            <a:t>Region: Al</a:t>
          </a:r>
          <a:r>
            <a:rPr>
              <a:solidFill>
                <a:schemeClr val="accent3">
                  <a:lumMod val="50000"/>
                </a:schemeClr>
              </a:solidFill>
            </a:rPr>
            <a:t>l</a:t>
          </a:r>
          <a:endParaRPr/>
        </a:p>
      </xdr:txBody>
    </xdr:sp>
    <xdr:clientData/>
  </xdr:twoCellAnchor>
  <xdr:twoCellAnchor editAs="twoCell">
    <xdr:from>
      <xdr:col>11</xdr:col>
      <xdr:colOff>114299</xdr:colOff>
      <xdr:row>0</xdr:row>
      <xdr:rowOff>152399</xdr:rowOff>
    </xdr:from>
    <xdr:to>
      <xdr:col>12</xdr:col>
      <xdr:colOff>409574</xdr:colOff>
      <xdr:row>2</xdr:row>
      <xdr:rowOff>114299</xdr:rowOff>
    </xdr:to>
    <xdr:sp>
      <xdr:nvSpPr>
        <xdr:cNvPr id="2128042387" name=""/>
        <xdr:cNvSpPr/>
      </xdr:nvSpPr>
      <xdr:spPr bwMode="auto">
        <a:xfrm rot="0" flipH="0" flipV="0">
          <a:off x="7124699" y="152399"/>
          <a:ext cx="904874" cy="323849"/>
        </a:xfrm>
        <a:prstGeom prst="flowChartAlternateProcess">
          <a:avLst/>
        </a:prstGeom>
        <a:solidFill>
          <a:schemeClr val="accent3"/>
        </a:solidFill>
        <a:ln w="6350" cap="flat" cmpd="sng" algn="ctr">
          <a:solidFill>
            <a:schemeClr val="accent1">
              <a:lumMod val="50000"/>
            </a:schemeClr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r>
            <a:rPr b="1">
              <a:solidFill>
                <a:schemeClr val="accent3">
                  <a:lumMod val="50000"/>
                </a:schemeClr>
              </a:solidFill>
            </a:rPr>
            <a:t>Category: All</a:t>
          </a:r>
          <a:endParaRPr/>
        </a:p>
      </xdr:txBody>
    </xdr:sp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601">
  <cacheSource type="worksheet">
    <worksheetSource name="SalesData[]"/>
  </cacheSource>
  <cacheFields count="17">
    <cacheField name="Order ID" numFmtId="0">
      <sharedItems/>
    </cacheField>
    <cacheField name="Order Date">
      <sharedItems containsDate="1" containsMixedTypes="1" minDate="2025-01-01T00:00:00" maxDate="2025-12-31T00:00:00"/>
    </cacheField>
    <cacheField name="Region" numFmtId="0">
      <sharedItems count="7">
        <s v="Region"/>
        <s v="Free State"/>
        <s v="Western Cape"/>
        <s v="KwaZulu-Natal"/>
        <s v="Gauteng"/>
        <s v="Eastern Cape"/>
        <s v="Limpopo"/>
      </sharedItems>
    </cacheField>
    <cacheField name="City" numFmtId="0">
      <sharedItems/>
    </cacheField>
    <cacheField name="Category" numFmtId="0">
      <sharedItems count="5">
        <s v="Category"/>
        <s v="Electronics"/>
        <s v="Stationery"/>
        <s v="Accessories"/>
        <s v="Furniture"/>
      </sharedItems>
    </cacheField>
    <cacheField name="Product" numFmtId="0">
      <sharedItems count="15">
        <s v="Product"/>
        <s v="Smartphone"/>
        <s v="Notebook Pack"/>
        <s v="Backpack"/>
        <s v="Power Bank"/>
        <s v="Bookshelf"/>
        <s v="Printer Paper"/>
        <s v="Laptop"/>
        <s v="Desk"/>
        <s v="Pen Box"/>
        <s v="Headphones"/>
        <s v="Smartwatch"/>
        <s v="Tablet"/>
        <s v="Phone Case"/>
        <s v="Office Chair"/>
      </sharedItems>
    </cacheField>
    <cacheField name="Quantity" numFmtId="0">
      <sharedItems containsMixedTypes="1" containsNumber="1" containsInteger="1" minValue="1" maxValue="40"/>
    </cacheField>
    <cacheField name="Unit Price (R)">
      <sharedItems containsMixedTypes="1" containsNumber="1" containsInteger="1" minValue="85" maxValue="12500"/>
    </cacheField>
    <cacheField name="Discount">
      <sharedItems containsMixedTypes="1" containsNumber="1" minValue="0" maxValue="0.15"/>
    </cacheField>
    <cacheField name="Sales Rep" numFmtId="0">
      <sharedItems/>
    </cacheField>
    <cacheField name="Customer Type" numFmtId="0">
      <sharedItems/>
    </cacheField>
    <cacheField name="Payment Method" numFmtId="0">
      <sharedItems/>
    </cacheField>
    <cacheField name="Revenue (R)">
      <sharedItems containsMixedTypes="1" containsNumber="1" minValue="153" maxValue="50000" count="253">
        <s v="Revenue (R)"/>
        <n v="32800"/>
        <n v="1800"/>
        <n v="2600"/>
        <n v="1560"/>
        <n v="5130"/>
        <n v="7380"/>
        <n v="4284"/>
        <n v="12500"/>
        <n v="6840"/>
        <n v="505.75"/>
        <n v="3915"/>
        <n v="12400"/>
        <n v="22500"/>
        <n v="2210"/>
        <n v="4590"/>
        <n v="180"/>
        <n v="3990"/>
        <n v="5415"/>
        <n v="1805"/>
        <n v="8200"/>
        <n v="12960"/>
        <n v="1976"/>
        <n v="10260"/>
        <n v="5400"/>
        <n v="585"/>
        <n v="12240"/>
        <n v="4600"/>
        <n v="2300"/>
        <n v="4140"/>
        <n v="552.5"/>
        <n v="4845"/>
        <n v="10625"/>
        <n v="5700"/>
        <n v="29520"/>
        <n v="3600"/>
        <n v="16200"/>
        <n v="9720"/>
        <n v="9300"/>
        <n v="15580"/>
        <n v="7200"/>
        <n v="2754"/>
        <n v="14760"/>
        <n v="19440"/>
        <n v="988"/>
        <n v="486"/>
        <n v="3960"/>
        <n v="2040"/>
        <n v="8740"/>
        <n v="6200"/>
        <n v="9200"/>
        <n v="5270"/>
        <n v="1260"/>
        <n v="1404"/>
        <n v="9180"/>
        <n v="4105.5"/>
        <n v="7600"/>
        <n v="2080"/>
        <n v="8835"/>
        <n v="1200"/>
        <n v="1040"/>
        <n v="2340"/>
        <n v="50000"/>
        <n v="1190"/>
        <n v="1305"/>
        <n v="14400"/>
        <n v="162"/>
        <n v="21250"/>
        <n v="1606.5"/>
        <n v="37500"/>
        <n v="520"/>
        <n v="171"/>
        <n v="2805"/>
        <n v="680"/>
        <n v="720"/>
        <n v="2380"/>
        <n v="2640"/>
        <n v="1300"/>
        <n v="1530"/>
        <n v="35625"/>
        <n v="20520"/>
        <n v="5859"/>
        <n v="3570"/>
        <n v="2470"/>
        <n v="6555"/>
        <n v="5510"/>
        <n v="6480"/>
        <n v="21600"/>
        <n v="8280"/>
        <n v="1836"/>
        <n v="4370"/>
        <n v="3149.25"/>
        <n v="494"/>
        <n v="612"/>
        <n v="4860"/>
        <n v="6460"/>
        <n v="936"/>
        <n v="3672"/>
        <n v="1683"/>
        <n v="11780"/>
        <n v="3100"/>
        <n v="1700"/>
        <n v="6510"/>
        <n v="42500"/>
        <n v="459"/>
        <n v="3192"/>
        <n v="884"/>
        <n v="892.5"/>
        <n v="1428"/>
        <n v="3060"/>
        <n v="2755"/>
        <n v="972"/>
        <n v="1912.5"/>
        <n v="617.5"/>
        <n v="513"/>
        <n v="6120"/>
        <n v="600"/>
        <n v="2280"/>
        <n v="2610"/>
        <n v="31875"/>
        <n v="684"/>
        <n v="1377.5"/>
        <n v="1105"/>
        <n v="2890"/>
        <n v="7371"/>
        <n v="3774"/>
        <n v="16400"/>
        <n v="11875"/>
        <n v="3230"/>
        <n v="8370"/>
        <n v="15390"/>
        <n v="960"/>
        <n v="6900"/>
        <n v="7220"/>
        <n v="13940"/>
        <n v="1320"/>
        <n v="2465"/>
        <n v="5890"/>
        <n v="468"/>
        <n v="6069"/>
        <n v="6090"/>
        <n v="3315"/>
        <n v="3800"/>
        <n v="1020"/>
        <n v="442"/>
        <n v="5580"/>
        <n v="2601"/>
        <n v="13680"/>
        <n v="3564"/>
        <n v="1950"/>
        <n v="5670"/>
        <n v="1615"/>
        <n v="1701"/>
        <n v="47500"/>
        <n v="4350"/>
        <n v="510"/>
        <n v="1235"/>
        <n v="2720"/>
        <n v="1232.5"/>
        <n v="5880"/>
        <n v="11160"/>
        <n v="648"/>
        <n v="13770"/>
        <n v="5800"/>
        <n v="2790"/>
        <n v="1755"/>
        <n v="5460"/>
        <n v="31160"/>
        <n v="1170"/>
        <n v="1710"/>
        <n v="27880"/>
        <n v="1450"/>
        <n v="20910"/>
        <n v="2520"/>
        <n v="1254"/>
        <n v="4132.5"/>
        <n v="7980"/>
        <n v="10800"/>
        <n v="153"/>
        <n v="11250"/>
        <n v="360"/>
        <n v="540"/>
        <n v="2125"/>
        <n v="2940"/>
        <n v="14580"/>
        <n v="23370"/>
        <n v="1368"/>
        <n v="24600"/>
        <n v="22140"/>
        <n v="25000"/>
        <n v="5220"/>
        <n v="6804"/>
        <n v="1275"/>
        <n v="1900"/>
        <n v="2448"/>
        <n v="7905"/>
        <n v="1878.5"/>
        <n v="2677.5"/>
        <n v="6982.5"/>
        <n v="306"/>
        <n v="2023"/>
        <n v="1512"/>
        <n v="650"/>
        <n v="2635"/>
        <n v="1326"/>
        <n v="4200"/>
        <n v="324"/>
        <n v="5712"/>
        <n v="2646"/>
        <n v="5865"/>
        <n v="1632"/>
        <n v="2400"/>
        <n v="2320.5"/>
        <n v="1440"/>
        <n v="6720"/>
        <n v="1224"/>
        <n v="918"/>
        <n v="2880"/>
        <n v="2900"/>
        <n v="1768"/>
        <n v="4332"/>
        <n v="3610"/>
        <n v="2760"/>
        <n v="1872"/>
        <n v="1083.75"/>
        <n v="2341.75"/>
        <n v="10540"/>
        <n v="342"/>
        <n v="2371.5"/>
        <n v="3240"/>
        <n v="565.25"/>
        <n v="45000"/>
        <n v="3400"/>
        <n v="6970"/>
        <n v="18360"/>
        <n v="3078"/>
        <n v="1955"/>
        <n v="2185"/>
        <n v="1728"/>
        <n v="4218"/>
        <n v="1806.25"/>
        <n v="1680"/>
        <n v="1122"/>
        <n v="6930"/>
        <n v="650.25"/>
        <n v="1482"/>
        <n v="2142"/>
        <n v="4560"/>
        <n v="2018.75"/>
        <n v="840"/>
        <n v="3132"/>
        <n v="1377"/>
        <n v="2456.5"/>
      </sharedItems>
    </cacheField>
    <cacheField name="Month">
      <sharedItems count="13">
        <s v="Month"/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Quarter">
      <sharedItems containsMixedTypes="1" containsNumber="1" containsInteger="1" minValue="1" maxValue="4"/>
    </cacheField>
    <cacheField name="Cost Price">
      <sharedItems containsMixedTypes="1" containsNumber="1" containsInteger="1" minValue="53" maxValue="7750"/>
    </cacheField>
    <cacheField name="Profit">
      <sharedItems containsMixedTypes="1" containsNumber="1" minValue="41" maxValue="19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1">
  <r>
    <s v="Order ID"/>
    <s v="Order Date"/>
    <x v="0"/>
    <s v="City"/>
    <x v="0"/>
    <x v="0"/>
    <s v="Quantity"/>
    <s v="Unit Price (R)"/>
    <s v="Discount"/>
    <s v="Sales Rep"/>
    <s v="Customer Type"/>
    <s v="Payment Method"/>
    <x v="0"/>
    <x v="0"/>
    <s v="Quarter"/>
    <s v="Cost Price"/>
    <s v="Profit"/>
  </r>
  <r>
    <s v="ORD-1001"/>
    <d v="2025-01-01T00:00:00"/>
    <x v="1"/>
    <s v="Bloemfontein"/>
    <x v="1"/>
    <x v="1"/>
    <n v="4"/>
    <n v="8200"/>
    <n v="0"/>
    <s v="Lerato K."/>
    <s v="Retail"/>
    <s v="Cash"/>
    <x v="1"/>
    <x v="1"/>
    <n v="1"/>
    <n v="5084"/>
    <n v="12464"/>
  </r>
  <r>
    <s v="ORD-1002"/>
    <d v="2025-01-01T00:00:00"/>
    <x v="2"/>
    <s v="Stellenbosch"/>
    <x v="2"/>
    <x v="2"/>
    <n v="15"/>
    <n v="120"/>
    <n v="0"/>
    <s v="Naledi P."/>
    <s v="Business"/>
    <s v="Cash"/>
    <x v="2"/>
    <x v="1"/>
    <n v="1"/>
    <n v="74"/>
    <n v="690"/>
  </r>
  <r>
    <s v="ORD-1003"/>
    <d v="2025-01-01T00:00:00"/>
    <x v="1"/>
    <s v="Bloemfontein"/>
    <x v="3"/>
    <x v="3"/>
    <n v="4"/>
    <n v="650"/>
    <n v="0"/>
    <s v="Lerato K."/>
    <s v="Business"/>
    <s v="EFT"/>
    <x v="3"/>
    <x v="1"/>
    <n v="1"/>
    <n v="403"/>
    <n v="988"/>
  </r>
  <r>
    <s v="ORD-1004"/>
    <d v="2025-01-02T00:00:00"/>
    <x v="3"/>
    <s v="Pietermaritzburg"/>
    <x v="3"/>
    <x v="4"/>
    <n v="3"/>
    <n v="520"/>
    <n v="0"/>
    <s v="Naledi P."/>
    <s v="Retail"/>
    <s v="Card"/>
    <x v="4"/>
    <x v="1"/>
    <n v="1"/>
    <n v="322"/>
    <n v="594"/>
  </r>
  <r>
    <s v="ORD-1005"/>
    <d v="2025-01-02T00:00:00"/>
    <x v="4"/>
    <s v="Sandton"/>
    <x v="4"/>
    <x v="5"/>
    <n v="3"/>
    <n v="1900"/>
    <n v="0.1"/>
    <s v="Naledi P."/>
    <s v="Business"/>
    <s v="Cash"/>
    <x v="5"/>
    <x v="1"/>
    <n v="1"/>
    <n v="1178"/>
    <n v="1596"/>
  </r>
  <r>
    <s v="ORD-1006"/>
    <d v="2025-01-02T00:00:00"/>
    <x v="3"/>
    <s v="Pietermaritzburg"/>
    <x v="1"/>
    <x v="1"/>
    <n v="1"/>
    <n v="8200"/>
    <n v="0.1"/>
    <s v="Pieter V."/>
    <s v="Retail"/>
    <s v="EFT"/>
    <x v="6"/>
    <x v="1"/>
    <n v="1"/>
    <n v="5084"/>
    <n v="2296"/>
  </r>
  <r>
    <s v="ORD-1007"/>
    <d v="2025-01-03T00:00:00"/>
    <x v="4"/>
    <s v="Pretoria"/>
    <x v="2"/>
    <x v="6"/>
    <n v="24"/>
    <n v="210"/>
    <n v="0.15"/>
    <s v="Naledi P."/>
    <s v="Retail"/>
    <s v="Card"/>
    <x v="7"/>
    <x v="1"/>
    <n v="1"/>
    <n v="130"/>
    <n v="1164"/>
  </r>
  <r>
    <s v="ORD-1008"/>
    <d v="2025-01-04T00:00:00"/>
    <x v="4"/>
    <s v="Pretoria"/>
    <x v="1"/>
    <x v="7"/>
    <n v="1"/>
    <n v="12500"/>
    <n v="0"/>
    <s v="Lerato K."/>
    <s v="Business"/>
    <s v="EFT"/>
    <x v="8"/>
    <x v="1"/>
    <n v="1"/>
    <n v="7750"/>
    <n v="4750"/>
  </r>
  <r>
    <s v="ORD-1009"/>
    <d v="2025-01-04T00:00:00"/>
    <x v="2"/>
    <s v="Stellenbosch"/>
    <x v="4"/>
    <x v="8"/>
    <n v="2"/>
    <n v="3600"/>
    <n v="0.05"/>
    <s v="Ayesha D."/>
    <s v="Retail"/>
    <s v="Mobile Wallet"/>
    <x v="9"/>
    <x v="1"/>
    <n v="1"/>
    <n v="2232"/>
    <n v="2376"/>
  </r>
  <r>
    <s v="ORD-1010"/>
    <d v="2025-01-05T00:00:00"/>
    <x v="2"/>
    <s v="Stellenbosch"/>
    <x v="2"/>
    <x v="9"/>
    <n v="7"/>
    <n v="85"/>
    <n v="0.15"/>
    <s v="Sipho N."/>
    <s v="Retail"/>
    <s v="Mobile Wallet"/>
    <x v="10"/>
    <x v="1"/>
    <n v="1"/>
    <n v="53"/>
    <n v="134.75"/>
  </r>
  <r>
    <s v="ORD-1011"/>
    <d v="2025-01-06T00:00:00"/>
    <x v="5"/>
    <s v="Gqeberha"/>
    <x v="1"/>
    <x v="10"/>
    <n v="3"/>
    <n v="1450"/>
    <n v="0.1"/>
    <s v="Ayesha D."/>
    <s v="Retail"/>
    <s v="Mobile Wallet"/>
    <x v="11"/>
    <x v="1"/>
    <n v="1"/>
    <n v="899"/>
    <n v="1218"/>
  </r>
  <r>
    <s v="ORD-1012"/>
    <d v="2025-01-07T00:00:00"/>
    <x v="4"/>
    <s v="Johannesburg"/>
    <x v="1"/>
    <x v="11"/>
    <n v="4"/>
    <n v="3100"/>
    <n v="0"/>
    <s v="Ayesha D."/>
    <s v="Retail"/>
    <s v="Card"/>
    <x v="12"/>
    <x v="1"/>
    <n v="1"/>
    <n v="1922"/>
    <n v="4712"/>
  </r>
  <r>
    <s v="ORD-1013"/>
    <d v="2025-01-09T00:00:00"/>
    <x v="5"/>
    <s v="Gqeberha"/>
    <x v="1"/>
    <x v="7"/>
    <n v="2"/>
    <n v="12500"/>
    <n v="0.1"/>
    <s v="Lerato K."/>
    <s v="Retail"/>
    <s v="EFT"/>
    <x v="13"/>
    <x v="1"/>
    <n v="1"/>
    <n v="7750"/>
    <n v="7000"/>
  </r>
  <r>
    <s v="ORD-1014"/>
    <d v="2025-01-11T00:00:00"/>
    <x v="4"/>
    <s v="Johannesburg"/>
    <x v="2"/>
    <x v="9"/>
    <n v="26"/>
    <n v="85"/>
    <n v="0"/>
    <s v="Pieter V."/>
    <s v="Retail"/>
    <s v="EFT"/>
    <x v="14"/>
    <x v="1"/>
    <n v="1"/>
    <n v="53"/>
    <n v="832"/>
  </r>
  <r>
    <s v="ORD-1015"/>
    <d v="2025-01-11T00:00:00"/>
    <x v="2"/>
    <s v="Cape Town"/>
    <x v="1"/>
    <x v="12"/>
    <n v="1"/>
    <n v="5400"/>
    <n v="0.15"/>
    <s v="Thabo M."/>
    <s v="Retail"/>
    <s v="Cash"/>
    <x v="15"/>
    <x v="1"/>
    <n v="1"/>
    <n v="3348"/>
    <n v="1242"/>
  </r>
  <r>
    <s v="ORD-1016"/>
    <d v="2025-01-11T00:00:00"/>
    <x v="5"/>
    <s v="East London"/>
    <x v="3"/>
    <x v="13"/>
    <n v="1"/>
    <n v="180"/>
    <n v="0"/>
    <s v="Sipho N."/>
    <s v="Retail"/>
    <s v="Mobile Wallet"/>
    <x v="16"/>
    <x v="1"/>
    <n v="1"/>
    <n v="112"/>
    <n v="68"/>
  </r>
  <r>
    <s v="ORD-1017"/>
    <d v="2025-01-13T00:00:00"/>
    <x v="4"/>
    <s v="Johannesburg"/>
    <x v="2"/>
    <x v="2"/>
    <n v="35"/>
    <n v="120"/>
    <n v="0.05"/>
    <s v="Sipho N."/>
    <s v="Retail"/>
    <s v="Card"/>
    <x v="17"/>
    <x v="1"/>
    <n v="1"/>
    <n v="74"/>
    <n v="1400"/>
  </r>
  <r>
    <s v="ORD-1018"/>
    <d v="2025-01-14T00:00:00"/>
    <x v="2"/>
    <s v="Cape Town"/>
    <x v="4"/>
    <x v="5"/>
    <n v="3"/>
    <n v="1900"/>
    <n v="0.05"/>
    <s v="Ayesha D."/>
    <s v="Business"/>
    <s v="Card"/>
    <x v="18"/>
    <x v="1"/>
    <n v="1"/>
    <n v="1178"/>
    <n v="1881"/>
  </r>
  <r>
    <s v="ORD-1019"/>
    <d v="2025-01-14T00:00:00"/>
    <x v="5"/>
    <s v="East London"/>
    <x v="4"/>
    <x v="5"/>
    <n v="1"/>
    <n v="1900"/>
    <n v="0.05"/>
    <s v="Ayesha D."/>
    <s v="Business"/>
    <s v="Card"/>
    <x v="19"/>
    <x v="1"/>
    <n v="1"/>
    <n v="1178"/>
    <n v="627"/>
  </r>
  <r>
    <s v="ORD-1020"/>
    <d v="2025-01-15T00:00:00"/>
    <x v="4"/>
    <s v="Johannesburg"/>
    <x v="1"/>
    <x v="1"/>
    <n v="1"/>
    <n v="8200"/>
    <n v="0"/>
    <s v="Sipho N."/>
    <s v="Retail"/>
    <s v="Cash"/>
    <x v="20"/>
    <x v="1"/>
    <n v="1"/>
    <n v="5084"/>
    <n v="3116"/>
  </r>
  <r>
    <s v="ORD-1021"/>
    <d v="2025-01-15T00:00:00"/>
    <x v="6"/>
    <s v="Polokwane"/>
    <x v="4"/>
    <x v="8"/>
    <n v="4"/>
    <n v="3600"/>
    <n v="0.1"/>
    <s v="Pieter V."/>
    <s v="Retail"/>
    <s v="Card"/>
    <x v="21"/>
    <x v="1"/>
    <n v="1"/>
    <n v="2232"/>
    <n v="4032"/>
  </r>
  <r>
    <s v="ORD-1022"/>
    <d v="2025-01-17T00:00:00"/>
    <x v="3"/>
    <s v="Durban"/>
    <x v="3"/>
    <x v="4"/>
    <n v="4"/>
    <n v="520"/>
    <n v="0.05"/>
    <s v="Lerato K."/>
    <s v="Retail"/>
    <s v="Mobile Wallet"/>
    <x v="22"/>
    <x v="1"/>
    <n v="1"/>
    <n v="322"/>
    <n v="688"/>
  </r>
  <r>
    <s v="ORD-1023"/>
    <d v="2025-01-17T00:00:00"/>
    <x v="2"/>
    <s v="Cape Town"/>
    <x v="4"/>
    <x v="8"/>
    <n v="3"/>
    <n v="3600"/>
    <n v="0.05"/>
    <s v="Sipho N."/>
    <s v="Business"/>
    <s v="Cash"/>
    <x v="23"/>
    <x v="1"/>
    <n v="1"/>
    <n v="2232"/>
    <n v="3564"/>
  </r>
  <r>
    <s v="ORD-1024"/>
    <d v="2025-01-19T00:00:00"/>
    <x v="3"/>
    <s v="Pietermaritzburg"/>
    <x v="1"/>
    <x v="12"/>
    <n v="1"/>
    <n v="5400"/>
    <n v="0"/>
    <s v="Thabo M."/>
    <s v="Retail"/>
    <s v="Card"/>
    <x v="24"/>
    <x v="1"/>
    <n v="1"/>
    <n v="3348"/>
    <n v="2052"/>
  </r>
  <r>
    <s v="ORD-1025"/>
    <d v="2025-01-19T00:00:00"/>
    <x v="3"/>
    <s v="Durban"/>
    <x v="3"/>
    <x v="3"/>
    <n v="1"/>
    <n v="650"/>
    <n v="0.1"/>
    <s v="Pieter V."/>
    <s v="Retail"/>
    <s v="Card"/>
    <x v="25"/>
    <x v="1"/>
    <n v="1"/>
    <n v="403"/>
    <n v="182"/>
  </r>
  <r>
    <s v="ORD-1026"/>
    <d v="2025-01-20T00:00:00"/>
    <x v="4"/>
    <s v="Sandton"/>
    <x v="4"/>
    <x v="8"/>
    <n v="4"/>
    <n v="3600"/>
    <n v="0.15"/>
    <s v="Thabo M."/>
    <s v="Business"/>
    <s v="Cash"/>
    <x v="26"/>
    <x v="1"/>
    <n v="1"/>
    <n v="2232"/>
    <n v="3312"/>
  </r>
  <r>
    <s v="ORD-1027"/>
    <d v="2025-01-21T00:00:00"/>
    <x v="4"/>
    <s v="Sandton"/>
    <x v="4"/>
    <x v="14"/>
    <n v="2"/>
    <n v="2300"/>
    <n v="0"/>
    <s v="Ayesha D."/>
    <s v="Retail"/>
    <s v="Card"/>
    <x v="27"/>
    <x v="1"/>
    <n v="1"/>
    <n v="1426"/>
    <n v="1748"/>
  </r>
  <r>
    <s v="ORD-1028"/>
    <d v="2025-01-21T00:00:00"/>
    <x v="5"/>
    <s v="East London"/>
    <x v="4"/>
    <x v="14"/>
    <n v="1"/>
    <n v="2300"/>
    <n v="0"/>
    <s v="Pieter V."/>
    <s v="Retail"/>
    <s v="Mobile Wallet"/>
    <x v="28"/>
    <x v="1"/>
    <n v="1"/>
    <n v="1426"/>
    <n v="874"/>
  </r>
  <r>
    <s v="ORD-1029"/>
    <d v="2025-01-21T00:00:00"/>
    <x v="2"/>
    <s v="Cape Town"/>
    <x v="3"/>
    <x v="4"/>
    <n v="3"/>
    <n v="520"/>
    <n v="0"/>
    <s v="Lerato K."/>
    <s v="Retail"/>
    <s v="Cash"/>
    <x v="4"/>
    <x v="1"/>
    <n v="1"/>
    <n v="322"/>
    <n v="594"/>
  </r>
  <r>
    <s v="ORD-1030"/>
    <d v="2025-01-21T00:00:00"/>
    <x v="4"/>
    <s v="Johannesburg"/>
    <x v="4"/>
    <x v="14"/>
    <n v="2"/>
    <n v="2300"/>
    <n v="0.1"/>
    <s v="Ayesha D."/>
    <s v="Retail"/>
    <s v="EFT"/>
    <x v="29"/>
    <x v="1"/>
    <n v="1"/>
    <n v="1426"/>
    <n v="1288"/>
  </r>
  <r>
    <s v="ORD-1031"/>
    <d v="2025-01-21T00:00:00"/>
    <x v="3"/>
    <s v="Durban"/>
    <x v="3"/>
    <x v="3"/>
    <n v="1"/>
    <n v="650"/>
    <n v="0.15"/>
    <s v="Pieter V."/>
    <s v="Retail"/>
    <s v="Mobile Wallet"/>
    <x v="30"/>
    <x v="1"/>
    <n v="1"/>
    <n v="403"/>
    <n v="149.5"/>
  </r>
  <r>
    <s v="ORD-1032"/>
    <d v="2025-01-22T00:00:00"/>
    <x v="4"/>
    <s v="Pretoria"/>
    <x v="4"/>
    <x v="5"/>
    <n v="3"/>
    <n v="1900"/>
    <n v="0.15"/>
    <s v="Sipho N."/>
    <s v="Business"/>
    <s v="Card"/>
    <x v="31"/>
    <x v="1"/>
    <n v="1"/>
    <n v="1178"/>
    <n v="1311"/>
  </r>
  <r>
    <s v="ORD-1033"/>
    <d v="2025-01-23T00:00:00"/>
    <x v="4"/>
    <s v="Sandton"/>
    <x v="1"/>
    <x v="7"/>
    <n v="1"/>
    <n v="12500"/>
    <n v="0.15"/>
    <s v="Thabo M."/>
    <s v="Retail"/>
    <s v="Mobile Wallet"/>
    <x v="32"/>
    <x v="1"/>
    <n v="1"/>
    <n v="7750"/>
    <n v="2875"/>
  </r>
  <r>
    <s v="ORD-1034"/>
    <d v="2025-01-23T00:00:00"/>
    <x v="3"/>
    <s v="Pietermaritzburg"/>
    <x v="4"/>
    <x v="5"/>
    <n v="3"/>
    <n v="1900"/>
    <n v="0"/>
    <s v="Pieter V."/>
    <s v="Retail"/>
    <s v="Mobile Wallet"/>
    <x v="33"/>
    <x v="1"/>
    <n v="1"/>
    <n v="1178"/>
    <n v="2166"/>
  </r>
  <r>
    <s v="ORD-1035"/>
    <d v="2025-01-23T00:00:00"/>
    <x v="4"/>
    <s v="Sandton"/>
    <x v="1"/>
    <x v="1"/>
    <n v="4"/>
    <n v="8200"/>
    <n v="0.1"/>
    <s v="Ayesha D."/>
    <s v="Retail"/>
    <s v="EFT"/>
    <x v="34"/>
    <x v="1"/>
    <n v="1"/>
    <n v="5084"/>
    <n v="9184"/>
  </r>
  <r>
    <s v="ORD-1036"/>
    <d v="2025-01-24T00:00:00"/>
    <x v="6"/>
    <s v="Polokwane"/>
    <x v="4"/>
    <x v="8"/>
    <n v="1"/>
    <n v="3600"/>
    <n v="0"/>
    <s v="Sipho N."/>
    <s v="Business"/>
    <s v="EFT"/>
    <x v="35"/>
    <x v="1"/>
    <n v="1"/>
    <n v="2232"/>
    <n v="1368"/>
  </r>
  <r>
    <s v="ORD-1037"/>
    <d v="2025-01-24T00:00:00"/>
    <x v="4"/>
    <s v="Pretoria"/>
    <x v="3"/>
    <x v="13"/>
    <n v="1"/>
    <n v="180"/>
    <n v="0"/>
    <s v="Naledi P."/>
    <s v="Business"/>
    <s v="EFT"/>
    <x v="16"/>
    <x v="1"/>
    <n v="1"/>
    <n v="112"/>
    <n v="68"/>
  </r>
  <r>
    <s v="ORD-1038"/>
    <d v="2025-01-26T00:00:00"/>
    <x v="2"/>
    <s v="Cape Town"/>
    <x v="1"/>
    <x v="12"/>
    <n v="3"/>
    <n v="5400"/>
    <n v="0"/>
    <s v="Naledi P."/>
    <s v="Business"/>
    <s v="Card"/>
    <x v="36"/>
    <x v="1"/>
    <n v="1"/>
    <n v="3348"/>
    <n v="6156"/>
  </r>
  <r>
    <s v="ORD-1039"/>
    <d v="2025-01-27T00:00:00"/>
    <x v="4"/>
    <s v="Johannesburg"/>
    <x v="4"/>
    <x v="8"/>
    <n v="3"/>
    <n v="3600"/>
    <n v="0.1"/>
    <s v="Naledi P."/>
    <s v="Retail"/>
    <s v="Mobile Wallet"/>
    <x v="37"/>
    <x v="1"/>
    <n v="1"/>
    <n v="2232"/>
    <n v="3024"/>
  </r>
  <r>
    <s v="ORD-1040"/>
    <d v="2025-01-27T00:00:00"/>
    <x v="4"/>
    <s v="Johannesburg"/>
    <x v="1"/>
    <x v="11"/>
    <n v="3"/>
    <n v="3100"/>
    <n v="0"/>
    <s v="Pieter V."/>
    <s v="Retail"/>
    <s v="Cash"/>
    <x v="38"/>
    <x v="1"/>
    <n v="1"/>
    <n v="1922"/>
    <n v="3534"/>
  </r>
  <r>
    <s v="ORD-1041"/>
    <d v="2025-01-27T00:00:00"/>
    <x v="2"/>
    <s v="Cape Town"/>
    <x v="1"/>
    <x v="1"/>
    <n v="2"/>
    <n v="8200"/>
    <n v="0.05"/>
    <s v="Pieter V."/>
    <s v="Retail"/>
    <s v="Card"/>
    <x v="39"/>
    <x v="1"/>
    <n v="1"/>
    <n v="5084"/>
    <n v="5412"/>
  </r>
  <r>
    <s v="ORD-1042"/>
    <d v="2025-01-28T00:00:00"/>
    <x v="1"/>
    <s v="Bloemfontein"/>
    <x v="4"/>
    <x v="8"/>
    <n v="2"/>
    <n v="3600"/>
    <n v="0"/>
    <s v="Lerato K."/>
    <s v="Retail"/>
    <s v="Card"/>
    <x v="40"/>
    <x v="1"/>
    <n v="1"/>
    <n v="2232"/>
    <n v="2736"/>
  </r>
  <r>
    <s v="ORD-1043"/>
    <d v="2025-01-28T00:00:00"/>
    <x v="2"/>
    <s v="Stellenbosch"/>
    <x v="2"/>
    <x v="2"/>
    <n v="27"/>
    <n v="120"/>
    <n v="0.15"/>
    <s v="Ayesha D."/>
    <s v="Business"/>
    <s v="EFT"/>
    <x v="41"/>
    <x v="1"/>
    <n v="1"/>
    <n v="74"/>
    <n v="756"/>
  </r>
  <r>
    <s v="ORD-1044"/>
    <d v="2025-01-28T00:00:00"/>
    <x v="4"/>
    <s v="Johannesburg"/>
    <x v="1"/>
    <x v="1"/>
    <n v="2"/>
    <n v="8200"/>
    <n v="0.1"/>
    <s v="Lerato K."/>
    <s v="Business"/>
    <s v="Card"/>
    <x v="42"/>
    <x v="1"/>
    <n v="1"/>
    <n v="5084"/>
    <n v="4592"/>
  </r>
  <r>
    <s v="ORD-1045"/>
    <d v="2025-01-29T00:00:00"/>
    <x v="6"/>
    <s v="Polokwane"/>
    <x v="1"/>
    <x v="12"/>
    <n v="4"/>
    <n v="5400"/>
    <n v="0.1"/>
    <s v="Pieter V."/>
    <s v="Retail"/>
    <s v="Cash"/>
    <x v="43"/>
    <x v="1"/>
    <n v="1"/>
    <n v="3348"/>
    <n v="6048"/>
  </r>
  <r>
    <s v="ORD-1046"/>
    <d v="2025-01-29T00:00:00"/>
    <x v="6"/>
    <s v="Polokwane"/>
    <x v="3"/>
    <x v="4"/>
    <n v="2"/>
    <n v="520"/>
    <n v="0.05"/>
    <s v="Thabo M."/>
    <s v="Retail"/>
    <s v="Cash"/>
    <x v="44"/>
    <x v="1"/>
    <n v="1"/>
    <n v="322"/>
    <n v="344"/>
  </r>
  <r>
    <s v="ORD-1047"/>
    <d v="2025-01-30T00:00:00"/>
    <x v="4"/>
    <s v="Johannesburg"/>
    <x v="3"/>
    <x v="13"/>
    <n v="3"/>
    <n v="180"/>
    <n v="0.1"/>
    <s v="Thabo M."/>
    <s v="Retail"/>
    <s v="Mobile Wallet"/>
    <x v="45"/>
    <x v="1"/>
    <n v="1"/>
    <n v="112"/>
    <n v="150"/>
  </r>
  <r>
    <s v="ORD-1048"/>
    <d v="2025-01-31T00:00:00"/>
    <x v="4"/>
    <s v="Pretoria"/>
    <x v="1"/>
    <x v="7"/>
    <n v="1"/>
    <n v="12500"/>
    <n v="0.15"/>
    <s v="Thabo M."/>
    <s v="Retail"/>
    <s v="Mobile Wallet"/>
    <x v="32"/>
    <x v="1"/>
    <n v="1"/>
    <n v="7750"/>
    <n v="2875"/>
  </r>
  <r>
    <s v="ORD-1049"/>
    <d v="2025-01-31T00:00:00"/>
    <x v="2"/>
    <s v="Cape Town"/>
    <x v="4"/>
    <x v="5"/>
    <n v="4"/>
    <n v="1900"/>
    <n v="0.1"/>
    <s v="Ayesha D."/>
    <s v="Retail"/>
    <s v="Mobile Wallet"/>
    <x v="9"/>
    <x v="1"/>
    <n v="1"/>
    <n v="1178"/>
    <n v="2128"/>
  </r>
  <r>
    <s v="ORD-1050"/>
    <d v="2025-02-02T00:00:00"/>
    <x v="4"/>
    <s v="Johannesburg"/>
    <x v="2"/>
    <x v="2"/>
    <n v="33"/>
    <n v="120"/>
    <n v="0"/>
    <s v="Sipho N."/>
    <s v="Business"/>
    <s v="Card"/>
    <x v="46"/>
    <x v="2"/>
    <n v="1"/>
    <n v="74"/>
    <n v="1518"/>
  </r>
  <r>
    <s v="ORD-1051"/>
    <d v="2025-02-03T00:00:00"/>
    <x v="3"/>
    <s v="Durban"/>
    <x v="2"/>
    <x v="2"/>
    <n v="20"/>
    <n v="120"/>
    <n v="0.15"/>
    <s v="Naledi P."/>
    <s v="Business"/>
    <s v="EFT"/>
    <x v="47"/>
    <x v="2"/>
    <n v="1"/>
    <n v="74"/>
    <n v="560"/>
  </r>
  <r>
    <s v="ORD-1052"/>
    <d v="2025-02-04T00:00:00"/>
    <x v="4"/>
    <s v="Pretoria"/>
    <x v="4"/>
    <x v="14"/>
    <n v="4"/>
    <n v="2300"/>
    <n v="0.05"/>
    <s v="Sipho N."/>
    <s v="Business"/>
    <s v="Card"/>
    <x v="48"/>
    <x v="2"/>
    <n v="1"/>
    <n v="1426"/>
    <n v="3036"/>
  </r>
  <r>
    <s v="ORD-1053"/>
    <d v="2025-02-05T00:00:00"/>
    <x v="3"/>
    <s v="Pietermaritzburg"/>
    <x v="3"/>
    <x v="13"/>
    <n v="1"/>
    <n v="180"/>
    <n v="0"/>
    <s v="Thabo M."/>
    <s v="Retail"/>
    <s v="Mobile Wallet"/>
    <x v="16"/>
    <x v="2"/>
    <n v="1"/>
    <n v="112"/>
    <n v="68"/>
  </r>
  <r>
    <s v="ORD-1054"/>
    <d v="2025-02-05T00:00:00"/>
    <x v="4"/>
    <s v="Sandton"/>
    <x v="1"/>
    <x v="11"/>
    <n v="2"/>
    <n v="3100"/>
    <n v="0"/>
    <s v="Thabo M."/>
    <s v="Retail"/>
    <s v="EFT"/>
    <x v="49"/>
    <x v="2"/>
    <n v="1"/>
    <n v="1922"/>
    <n v="2356"/>
  </r>
  <r>
    <s v="ORD-1055"/>
    <d v="2025-02-05T00:00:00"/>
    <x v="4"/>
    <s v="Sandton"/>
    <x v="4"/>
    <x v="14"/>
    <n v="4"/>
    <n v="2300"/>
    <n v="0"/>
    <s v="Pieter V."/>
    <s v="Business"/>
    <s v="Card"/>
    <x v="50"/>
    <x v="2"/>
    <n v="1"/>
    <n v="1426"/>
    <n v="3496"/>
  </r>
  <r>
    <s v="ORD-1056"/>
    <d v="2025-02-06T00:00:00"/>
    <x v="2"/>
    <s v="Stellenbosch"/>
    <x v="1"/>
    <x v="11"/>
    <n v="2"/>
    <n v="3100"/>
    <n v="0.15"/>
    <s v="Ayesha D."/>
    <s v="Business"/>
    <s v="Card"/>
    <x v="51"/>
    <x v="2"/>
    <n v="1"/>
    <n v="1922"/>
    <n v="1426"/>
  </r>
  <r>
    <s v="ORD-1057"/>
    <d v="2025-02-06T00:00:00"/>
    <x v="3"/>
    <s v="Pietermaritzburg"/>
    <x v="2"/>
    <x v="6"/>
    <n v="6"/>
    <n v="210"/>
    <n v="0"/>
    <s v="Sipho N."/>
    <s v="Retail"/>
    <s v="EFT"/>
    <x v="52"/>
    <x v="2"/>
    <n v="1"/>
    <n v="130"/>
    <n v="480"/>
  </r>
  <r>
    <s v="ORD-1058"/>
    <d v="2025-02-07T00:00:00"/>
    <x v="6"/>
    <s v="Polokwane"/>
    <x v="4"/>
    <x v="14"/>
    <n v="2"/>
    <n v="2300"/>
    <n v="0"/>
    <s v="Lerato K."/>
    <s v="Retail"/>
    <s v="Cash"/>
    <x v="27"/>
    <x v="2"/>
    <n v="1"/>
    <n v="1426"/>
    <n v="1748"/>
  </r>
  <r>
    <s v="ORD-1059"/>
    <d v="2025-02-07T00:00:00"/>
    <x v="5"/>
    <s v="Gqeberha"/>
    <x v="3"/>
    <x v="4"/>
    <n v="3"/>
    <n v="520"/>
    <n v="0.1"/>
    <s v="Lerato K."/>
    <s v="Retail"/>
    <s v="EFT"/>
    <x v="53"/>
    <x v="2"/>
    <n v="1"/>
    <n v="322"/>
    <n v="438"/>
  </r>
  <r>
    <s v="ORD-1060"/>
    <d v="2025-02-07T00:00:00"/>
    <x v="4"/>
    <s v="Sandton"/>
    <x v="1"/>
    <x v="12"/>
    <n v="2"/>
    <n v="5400"/>
    <n v="0.15"/>
    <s v="Naledi P."/>
    <s v="Retail"/>
    <s v="Cash"/>
    <x v="54"/>
    <x v="2"/>
    <n v="1"/>
    <n v="3348"/>
    <n v="2484"/>
  </r>
  <r>
    <s v="ORD-1061"/>
    <d v="2025-02-07T00:00:00"/>
    <x v="3"/>
    <s v="Pietermaritzburg"/>
    <x v="2"/>
    <x v="6"/>
    <n v="23"/>
    <n v="210"/>
    <n v="0.15"/>
    <s v="Naledi P."/>
    <s v="Retail"/>
    <s v="EFT"/>
    <x v="55"/>
    <x v="2"/>
    <n v="1"/>
    <n v="130"/>
    <n v="1115.5"/>
  </r>
  <r>
    <s v="ORD-1062"/>
    <d v="2025-02-08T00:00:00"/>
    <x v="6"/>
    <s v="Polokwane"/>
    <x v="1"/>
    <x v="11"/>
    <n v="2"/>
    <n v="3100"/>
    <n v="0"/>
    <s v="Ayesha D."/>
    <s v="Business"/>
    <s v="Mobile Wallet"/>
    <x v="49"/>
    <x v="2"/>
    <n v="1"/>
    <n v="1922"/>
    <n v="2356"/>
  </r>
  <r>
    <s v="ORD-1063"/>
    <d v="2025-02-09T00:00:00"/>
    <x v="3"/>
    <s v="Pietermaritzburg"/>
    <x v="4"/>
    <x v="5"/>
    <n v="4"/>
    <n v="1900"/>
    <n v="0"/>
    <s v="Lerato K."/>
    <s v="Business"/>
    <s v="EFT"/>
    <x v="56"/>
    <x v="2"/>
    <n v="1"/>
    <n v="1178"/>
    <n v="2888"/>
  </r>
  <r>
    <s v="ORD-1064"/>
    <d v="2025-02-10T00:00:00"/>
    <x v="4"/>
    <s v="Sandton"/>
    <x v="3"/>
    <x v="4"/>
    <n v="4"/>
    <n v="520"/>
    <n v="0"/>
    <s v="Pieter V."/>
    <s v="Business"/>
    <s v="Card"/>
    <x v="57"/>
    <x v="2"/>
    <n v="1"/>
    <n v="322"/>
    <n v="792"/>
  </r>
  <r>
    <s v="ORD-1065"/>
    <d v="2025-02-10T00:00:00"/>
    <x v="4"/>
    <s v="Johannesburg"/>
    <x v="1"/>
    <x v="11"/>
    <n v="3"/>
    <n v="3100"/>
    <n v="0.05"/>
    <s v="Pieter V."/>
    <s v="Retail"/>
    <s v="Mobile Wallet"/>
    <x v="58"/>
    <x v="2"/>
    <n v="1"/>
    <n v="1922"/>
    <n v="3069"/>
  </r>
  <r>
    <s v="ORD-1066"/>
    <d v="2025-02-10T00:00:00"/>
    <x v="6"/>
    <s v="Polokwane"/>
    <x v="1"/>
    <x v="1"/>
    <n v="4"/>
    <n v="8200"/>
    <n v="0"/>
    <s v="Thabo M."/>
    <s v="Retail"/>
    <s v="Mobile Wallet"/>
    <x v="1"/>
    <x v="2"/>
    <n v="1"/>
    <n v="5084"/>
    <n v="12464"/>
  </r>
  <r>
    <s v="ORD-1067"/>
    <d v="2025-02-11T00:00:00"/>
    <x v="4"/>
    <s v="Pretoria"/>
    <x v="2"/>
    <x v="2"/>
    <n v="10"/>
    <n v="120"/>
    <n v="0"/>
    <s v="Lerato K."/>
    <s v="Retail"/>
    <s v="Card"/>
    <x v="59"/>
    <x v="2"/>
    <n v="1"/>
    <n v="74"/>
    <n v="460"/>
  </r>
  <r>
    <s v="ORD-1068"/>
    <d v="2025-02-11T00:00:00"/>
    <x v="3"/>
    <s v="Pietermaritzburg"/>
    <x v="3"/>
    <x v="4"/>
    <n v="2"/>
    <n v="520"/>
    <n v="0"/>
    <s v="Thabo M."/>
    <s v="Retail"/>
    <s v="Mobile Wallet"/>
    <x v="60"/>
    <x v="2"/>
    <n v="1"/>
    <n v="322"/>
    <n v="396"/>
  </r>
  <r>
    <s v="ORD-1069"/>
    <d v="2025-02-13T00:00:00"/>
    <x v="5"/>
    <s v="East London"/>
    <x v="3"/>
    <x v="3"/>
    <n v="4"/>
    <n v="650"/>
    <n v="0.1"/>
    <s v="Thabo M."/>
    <s v="Business"/>
    <s v="Card"/>
    <x v="61"/>
    <x v="2"/>
    <n v="1"/>
    <n v="403"/>
    <n v="728"/>
  </r>
  <r>
    <s v="ORD-1070"/>
    <d v="2025-02-13T00:00:00"/>
    <x v="4"/>
    <s v="Johannesburg"/>
    <x v="1"/>
    <x v="11"/>
    <n v="4"/>
    <n v="3100"/>
    <n v="0"/>
    <s v="Sipho N."/>
    <s v="Retail"/>
    <s v="Card"/>
    <x v="12"/>
    <x v="2"/>
    <n v="1"/>
    <n v="1922"/>
    <n v="4712"/>
  </r>
  <r>
    <s v="ORD-1071"/>
    <d v="2025-02-14T00:00:00"/>
    <x v="4"/>
    <s v="Sandton"/>
    <x v="1"/>
    <x v="7"/>
    <n v="4"/>
    <n v="12500"/>
    <n v="0"/>
    <s v="Thabo M."/>
    <s v="Business"/>
    <s v="Mobile Wallet"/>
    <x v="62"/>
    <x v="2"/>
    <n v="1"/>
    <n v="7750"/>
    <n v="19000"/>
  </r>
  <r>
    <s v="ORD-1072"/>
    <d v="2025-02-15T00:00:00"/>
    <x v="2"/>
    <s v="Cape Town"/>
    <x v="2"/>
    <x v="9"/>
    <n v="14"/>
    <n v="85"/>
    <n v="0"/>
    <s v="Naledi P."/>
    <s v="Retail"/>
    <s v="Cash"/>
    <x v="63"/>
    <x v="2"/>
    <n v="1"/>
    <n v="53"/>
    <n v="448"/>
  </r>
  <r>
    <s v="ORD-1073"/>
    <d v="2025-02-16T00:00:00"/>
    <x v="2"/>
    <s v="Cape Town"/>
    <x v="1"/>
    <x v="10"/>
    <n v="1"/>
    <n v="1450"/>
    <n v="0.1"/>
    <s v="Sipho N."/>
    <s v="Retail"/>
    <s v="Card"/>
    <x v="64"/>
    <x v="2"/>
    <n v="1"/>
    <n v="899"/>
    <n v="406"/>
  </r>
  <r>
    <s v="ORD-1074"/>
    <d v="2025-02-16T00:00:00"/>
    <x v="1"/>
    <s v="Bloemfontein"/>
    <x v="4"/>
    <x v="8"/>
    <n v="4"/>
    <n v="3600"/>
    <n v="0"/>
    <s v="Sipho N."/>
    <s v="Business"/>
    <s v="Cash"/>
    <x v="65"/>
    <x v="2"/>
    <n v="1"/>
    <n v="2232"/>
    <n v="5472"/>
  </r>
  <r>
    <s v="ORD-1075"/>
    <d v="2025-02-17T00:00:00"/>
    <x v="4"/>
    <s v="Johannesburg"/>
    <x v="3"/>
    <x v="13"/>
    <n v="1"/>
    <n v="180"/>
    <n v="0.1"/>
    <s v="Ayesha D."/>
    <s v="Business"/>
    <s v="EFT"/>
    <x v="66"/>
    <x v="2"/>
    <n v="1"/>
    <n v="112"/>
    <n v="50"/>
  </r>
  <r>
    <s v="ORD-1076"/>
    <d v="2025-02-17T00:00:00"/>
    <x v="4"/>
    <s v="Pretoria"/>
    <x v="1"/>
    <x v="7"/>
    <n v="2"/>
    <n v="12500"/>
    <n v="0.15"/>
    <s v="Naledi P."/>
    <s v="Business"/>
    <s v="Mobile Wallet"/>
    <x v="67"/>
    <x v="2"/>
    <n v="1"/>
    <n v="7750"/>
    <n v="5750"/>
  </r>
  <r>
    <s v="ORD-1077"/>
    <d v="2025-02-19T00:00:00"/>
    <x v="4"/>
    <s v="Johannesburg"/>
    <x v="2"/>
    <x v="6"/>
    <n v="9"/>
    <n v="210"/>
    <n v="0.15"/>
    <s v="Naledi P."/>
    <s v="Retail"/>
    <s v="EFT"/>
    <x v="68"/>
    <x v="2"/>
    <n v="1"/>
    <n v="130"/>
    <n v="436.5"/>
  </r>
  <r>
    <s v="ORD-1078"/>
    <d v="2025-02-20T00:00:00"/>
    <x v="5"/>
    <s v="Gqeberha"/>
    <x v="1"/>
    <x v="7"/>
    <n v="3"/>
    <n v="12500"/>
    <n v="0"/>
    <s v="Pieter V."/>
    <s v="Retail"/>
    <s v="Mobile Wallet"/>
    <x v="69"/>
    <x v="2"/>
    <n v="1"/>
    <n v="7750"/>
    <n v="14250"/>
  </r>
  <r>
    <s v="ORD-1079"/>
    <d v="2025-02-20T00:00:00"/>
    <x v="4"/>
    <s v="Sandton"/>
    <x v="1"/>
    <x v="11"/>
    <n v="2"/>
    <n v="3100"/>
    <n v="0"/>
    <s v="Sipho N."/>
    <s v="Business"/>
    <s v="Card"/>
    <x v="49"/>
    <x v="2"/>
    <n v="1"/>
    <n v="1922"/>
    <n v="2356"/>
  </r>
  <r>
    <s v="ORD-1080"/>
    <d v="2025-02-20T00:00:00"/>
    <x v="3"/>
    <s v="Pietermaritzburg"/>
    <x v="3"/>
    <x v="4"/>
    <n v="1"/>
    <n v="520"/>
    <n v="0"/>
    <s v="Naledi P."/>
    <s v="Business"/>
    <s v="Mobile Wallet"/>
    <x v="70"/>
    <x v="2"/>
    <n v="1"/>
    <n v="322"/>
    <n v="198"/>
  </r>
  <r>
    <s v="ORD-1081"/>
    <d v="2025-02-21T00:00:00"/>
    <x v="4"/>
    <s v="Johannesburg"/>
    <x v="4"/>
    <x v="8"/>
    <n v="4"/>
    <n v="3600"/>
    <n v="0.15"/>
    <s v="Naledi P."/>
    <s v="Retail"/>
    <s v="Cash"/>
    <x v="26"/>
    <x v="2"/>
    <n v="1"/>
    <n v="2232"/>
    <n v="3312"/>
  </r>
  <r>
    <s v="ORD-1082"/>
    <d v="2025-02-21T00:00:00"/>
    <x v="4"/>
    <s v="Pretoria"/>
    <x v="3"/>
    <x v="13"/>
    <n v="1"/>
    <n v="180"/>
    <n v="0.05"/>
    <s v="Pieter V."/>
    <s v="Business"/>
    <s v="EFT"/>
    <x v="71"/>
    <x v="2"/>
    <n v="1"/>
    <n v="112"/>
    <n v="59"/>
  </r>
  <r>
    <s v="ORD-1083"/>
    <d v="2025-02-21T00:00:00"/>
    <x v="4"/>
    <s v="Johannesburg"/>
    <x v="2"/>
    <x v="2"/>
    <n v="10"/>
    <n v="120"/>
    <n v="0"/>
    <s v="Ayesha D."/>
    <s v="Retail"/>
    <s v="Mobile Wallet"/>
    <x v="59"/>
    <x v="2"/>
    <n v="1"/>
    <n v="74"/>
    <n v="460"/>
  </r>
  <r>
    <s v="ORD-1084"/>
    <d v="2025-02-21T00:00:00"/>
    <x v="3"/>
    <s v="Durban"/>
    <x v="2"/>
    <x v="9"/>
    <n v="33"/>
    <n v="85"/>
    <n v="0"/>
    <s v="Naledi P."/>
    <s v="Retail"/>
    <s v="Cash"/>
    <x v="72"/>
    <x v="2"/>
    <n v="1"/>
    <n v="53"/>
    <n v="1056"/>
  </r>
  <r>
    <s v="ORD-1085"/>
    <d v="2025-02-22T00:00:00"/>
    <x v="6"/>
    <s v="Polokwane"/>
    <x v="2"/>
    <x v="9"/>
    <n v="8"/>
    <n v="85"/>
    <n v="0"/>
    <s v="Ayesha D."/>
    <s v="Retail"/>
    <s v="Cash"/>
    <x v="73"/>
    <x v="2"/>
    <n v="1"/>
    <n v="53"/>
    <n v="256"/>
  </r>
  <r>
    <s v="ORD-1086"/>
    <d v="2025-02-23T00:00:00"/>
    <x v="5"/>
    <s v="Gqeberha"/>
    <x v="2"/>
    <x v="2"/>
    <n v="6"/>
    <n v="120"/>
    <n v="0"/>
    <s v="Pieter V."/>
    <s v="Business"/>
    <s v="Mobile Wallet"/>
    <x v="74"/>
    <x v="2"/>
    <n v="1"/>
    <n v="74"/>
    <n v="276"/>
  </r>
  <r>
    <s v="ORD-1087"/>
    <d v="2025-02-23T00:00:00"/>
    <x v="4"/>
    <s v="Johannesburg"/>
    <x v="1"/>
    <x v="7"/>
    <n v="3"/>
    <n v="12500"/>
    <n v="0"/>
    <s v="Naledi P."/>
    <s v="Business"/>
    <s v="Card"/>
    <x v="69"/>
    <x v="2"/>
    <n v="1"/>
    <n v="7750"/>
    <n v="14250"/>
  </r>
  <r>
    <s v="ORD-1088"/>
    <d v="2025-02-24T00:00:00"/>
    <x v="4"/>
    <s v="Pretoria"/>
    <x v="2"/>
    <x v="9"/>
    <n v="28"/>
    <n v="85"/>
    <n v="0"/>
    <s v="Naledi P."/>
    <s v="Business"/>
    <s v="EFT"/>
    <x v="75"/>
    <x v="2"/>
    <n v="1"/>
    <n v="53"/>
    <n v="896"/>
  </r>
  <r>
    <s v="ORD-1089"/>
    <d v="2025-02-24T00:00:00"/>
    <x v="4"/>
    <s v="Pretoria"/>
    <x v="2"/>
    <x v="2"/>
    <n v="22"/>
    <n v="120"/>
    <n v="0"/>
    <s v="Thabo M."/>
    <s v="Retail"/>
    <s v="EFT"/>
    <x v="76"/>
    <x v="2"/>
    <n v="1"/>
    <n v="74"/>
    <n v="1012"/>
  </r>
  <r>
    <s v="ORD-1090"/>
    <d v="2025-02-24T00:00:00"/>
    <x v="2"/>
    <s v="Cape Town"/>
    <x v="4"/>
    <x v="5"/>
    <n v="3"/>
    <n v="1900"/>
    <n v="0"/>
    <s v="Ayesha D."/>
    <s v="Retail"/>
    <s v="Cash"/>
    <x v="33"/>
    <x v="2"/>
    <n v="1"/>
    <n v="1178"/>
    <n v="2166"/>
  </r>
  <r>
    <s v="ORD-1091"/>
    <d v="2025-02-24T00:00:00"/>
    <x v="1"/>
    <s v="Bloemfontein"/>
    <x v="3"/>
    <x v="3"/>
    <n v="2"/>
    <n v="650"/>
    <n v="0"/>
    <s v="Lerato K."/>
    <s v="Business"/>
    <s v="Mobile Wallet"/>
    <x v="77"/>
    <x v="2"/>
    <n v="1"/>
    <n v="403"/>
    <n v="494"/>
  </r>
  <r>
    <s v="ORD-1092"/>
    <d v="2025-02-25T00:00:00"/>
    <x v="1"/>
    <s v="Bloemfontein"/>
    <x v="1"/>
    <x v="12"/>
    <n v="1"/>
    <n v="5400"/>
    <n v="0.15"/>
    <s v="Sipho N."/>
    <s v="Business"/>
    <s v="Card"/>
    <x v="15"/>
    <x v="2"/>
    <n v="1"/>
    <n v="3348"/>
    <n v="1242"/>
  </r>
  <r>
    <s v="ORD-1093"/>
    <d v="2025-02-25T00:00:00"/>
    <x v="2"/>
    <s v="Stellenbosch"/>
    <x v="2"/>
    <x v="2"/>
    <n v="15"/>
    <n v="120"/>
    <n v="0.15"/>
    <s v="Ayesha D."/>
    <s v="Business"/>
    <s v="EFT"/>
    <x v="78"/>
    <x v="2"/>
    <n v="1"/>
    <n v="74"/>
    <n v="420"/>
  </r>
  <r>
    <s v="ORD-1094"/>
    <d v="2025-02-25T00:00:00"/>
    <x v="4"/>
    <s v="Johannesburg"/>
    <x v="3"/>
    <x v="13"/>
    <n v="1"/>
    <n v="180"/>
    <n v="0"/>
    <s v="Lerato K."/>
    <s v="Retail"/>
    <s v="Mobile Wallet"/>
    <x v="16"/>
    <x v="2"/>
    <n v="1"/>
    <n v="112"/>
    <n v="68"/>
  </r>
  <r>
    <s v="ORD-1095"/>
    <d v="2025-02-26T00:00:00"/>
    <x v="4"/>
    <s v="Sandton"/>
    <x v="1"/>
    <x v="7"/>
    <n v="3"/>
    <n v="12500"/>
    <n v="0.05"/>
    <s v="Pieter V."/>
    <s v="Retail"/>
    <s v="Card"/>
    <x v="79"/>
    <x v="2"/>
    <n v="1"/>
    <n v="7750"/>
    <n v="12375"/>
  </r>
  <r>
    <s v="ORD-1096"/>
    <d v="2025-02-27T00:00:00"/>
    <x v="4"/>
    <s v="Sandton"/>
    <x v="1"/>
    <x v="1"/>
    <n v="4"/>
    <n v="8200"/>
    <n v="0.1"/>
    <s v="Naledi P."/>
    <s v="Business"/>
    <s v="Card"/>
    <x v="34"/>
    <x v="2"/>
    <n v="1"/>
    <n v="5084"/>
    <n v="9184"/>
  </r>
  <r>
    <s v="ORD-1097"/>
    <d v="2025-02-27T00:00:00"/>
    <x v="6"/>
    <s v="Polokwane"/>
    <x v="1"/>
    <x v="12"/>
    <n v="4"/>
    <n v="5400"/>
    <n v="0.05"/>
    <s v="Ayesha D."/>
    <s v="Retail"/>
    <s v="EFT"/>
    <x v="80"/>
    <x v="2"/>
    <n v="1"/>
    <n v="3348"/>
    <n v="7128"/>
  </r>
  <r>
    <s v="ORD-1098"/>
    <d v="2025-02-27T00:00:00"/>
    <x v="5"/>
    <s v="Gqeberha"/>
    <x v="3"/>
    <x v="4"/>
    <n v="2"/>
    <n v="520"/>
    <n v="0.05"/>
    <s v="Pieter V."/>
    <s v="Business"/>
    <s v="Card"/>
    <x v="44"/>
    <x v="2"/>
    <n v="1"/>
    <n v="322"/>
    <n v="344"/>
  </r>
  <r>
    <s v="ORD-1099"/>
    <d v="2025-02-28T00:00:00"/>
    <x v="4"/>
    <s v="Johannesburg"/>
    <x v="3"/>
    <x v="4"/>
    <n v="3"/>
    <n v="520"/>
    <n v="0"/>
    <s v="Lerato K."/>
    <s v="Retail"/>
    <s v="EFT"/>
    <x v="4"/>
    <x v="2"/>
    <n v="1"/>
    <n v="322"/>
    <n v="594"/>
  </r>
  <r>
    <s v="ORD-1100"/>
    <d v="2025-02-28T00:00:00"/>
    <x v="6"/>
    <s v="Polokwane"/>
    <x v="4"/>
    <x v="14"/>
    <n v="1"/>
    <n v="2300"/>
    <n v="0"/>
    <s v="Lerato K."/>
    <s v="Retail"/>
    <s v="Cash"/>
    <x v="28"/>
    <x v="2"/>
    <n v="1"/>
    <n v="1426"/>
    <n v="874"/>
  </r>
  <r>
    <s v="ORD-1101"/>
    <d v="2025-02-28T00:00:00"/>
    <x v="3"/>
    <s v="Durban"/>
    <x v="1"/>
    <x v="12"/>
    <n v="2"/>
    <n v="5400"/>
    <n v="0.1"/>
    <s v="Pieter V."/>
    <s v="Retail"/>
    <s v="Cash"/>
    <x v="37"/>
    <x v="2"/>
    <n v="1"/>
    <n v="3348"/>
    <n v="3024"/>
  </r>
  <r>
    <s v="ORD-1102"/>
    <d v="2025-02-28T00:00:00"/>
    <x v="1"/>
    <s v="Bloemfontein"/>
    <x v="3"/>
    <x v="4"/>
    <n v="1"/>
    <n v="520"/>
    <n v="0"/>
    <s v="Thabo M."/>
    <s v="Business"/>
    <s v="Cash"/>
    <x v="70"/>
    <x v="2"/>
    <n v="1"/>
    <n v="322"/>
    <n v="198"/>
  </r>
  <r>
    <s v="ORD-1103"/>
    <d v="2025-03-02T00:00:00"/>
    <x v="4"/>
    <s v="Sandton"/>
    <x v="2"/>
    <x v="6"/>
    <n v="31"/>
    <n v="210"/>
    <n v="0.1"/>
    <s v="Ayesha D."/>
    <s v="Retail"/>
    <s v="Cash"/>
    <x v="81"/>
    <x v="3"/>
    <n v="1"/>
    <n v="130"/>
    <n v="1829"/>
  </r>
  <r>
    <s v="ORD-1104"/>
    <d v="2025-03-02T00:00:00"/>
    <x v="6"/>
    <s v="Polokwane"/>
    <x v="2"/>
    <x v="6"/>
    <n v="20"/>
    <n v="210"/>
    <n v="0.15"/>
    <s v="Naledi P."/>
    <s v="Retail"/>
    <s v="Card"/>
    <x v="82"/>
    <x v="3"/>
    <n v="1"/>
    <n v="130"/>
    <n v="970"/>
  </r>
  <r>
    <s v="ORD-1105"/>
    <d v="2025-03-03T00:00:00"/>
    <x v="4"/>
    <s v="Pretoria"/>
    <x v="3"/>
    <x v="3"/>
    <n v="4"/>
    <n v="650"/>
    <n v="0.05"/>
    <s v="Naledi P."/>
    <s v="Retail"/>
    <s v="EFT"/>
    <x v="83"/>
    <x v="3"/>
    <n v="1"/>
    <n v="403"/>
    <n v="858"/>
  </r>
  <r>
    <s v="ORD-1106"/>
    <d v="2025-03-04T00:00:00"/>
    <x v="1"/>
    <s v="Bloemfontein"/>
    <x v="4"/>
    <x v="14"/>
    <n v="3"/>
    <n v="2300"/>
    <n v="0.05"/>
    <s v="Lerato K."/>
    <s v="Business"/>
    <s v="Card"/>
    <x v="84"/>
    <x v="3"/>
    <n v="1"/>
    <n v="1426"/>
    <n v="2277"/>
  </r>
  <r>
    <s v="ORD-1107"/>
    <d v="2025-03-05T00:00:00"/>
    <x v="4"/>
    <s v="Johannesburg"/>
    <x v="4"/>
    <x v="14"/>
    <n v="3"/>
    <n v="2300"/>
    <n v="0.05"/>
    <s v="Lerato K."/>
    <s v="Retail"/>
    <s v="Card"/>
    <x v="84"/>
    <x v="3"/>
    <n v="1"/>
    <n v="1426"/>
    <n v="2277"/>
  </r>
  <r>
    <s v="ORD-1108"/>
    <d v="2025-03-06T00:00:00"/>
    <x v="6"/>
    <s v="Polokwane"/>
    <x v="1"/>
    <x v="11"/>
    <n v="2"/>
    <n v="3100"/>
    <n v="0"/>
    <s v="Sipho N."/>
    <s v="Business"/>
    <s v="Cash"/>
    <x v="49"/>
    <x v="3"/>
    <n v="1"/>
    <n v="1922"/>
    <n v="2356"/>
  </r>
  <r>
    <s v="ORD-1109"/>
    <d v="2025-03-07T00:00:00"/>
    <x v="3"/>
    <s v="Pietermaritzburg"/>
    <x v="1"/>
    <x v="10"/>
    <n v="4"/>
    <n v="1450"/>
    <n v="0.05"/>
    <s v="Sipho N."/>
    <s v="Retail"/>
    <s v="Card"/>
    <x v="85"/>
    <x v="3"/>
    <n v="1"/>
    <n v="899"/>
    <n v="1914"/>
  </r>
  <r>
    <s v="ORD-1110"/>
    <d v="2025-03-08T00:00:00"/>
    <x v="2"/>
    <s v="Cape Town"/>
    <x v="4"/>
    <x v="8"/>
    <n v="2"/>
    <n v="3600"/>
    <n v="0.1"/>
    <s v="Sipho N."/>
    <s v="Retail"/>
    <s v="Cash"/>
    <x v="86"/>
    <x v="3"/>
    <n v="1"/>
    <n v="2232"/>
    <n v="2016"/>
  </r>
  <r>
    <s v="ORD-1111"/>
    <d v="2025-03-10T00:00:00"/>
    <x v="2"/>
    <s v="Stellenbosch"/>
    <x v="4"/>
    <x v="5"/>
    <n v="3"/>
    <n v="1900"/>
    <n v="0.1"/>
    <s v="Thabo M."/>
    <s v="Business"/>
    <s v="Mobile Wallet"/>
    <x v="5"/>
    <x v="3"/>
    <n v="1"/>
    <n v="1178"/>
    <n v="1596"/>
  </r>
  <r>
    <s v="ORD-1112"/>
    <d v="2025-03-11T00:00:00"/>
    <x v="1"/>
    <s v="Bloemfontein"/>
    <x v="1"/>
    <x v="12"/>
    <n v="4"/>
    <n v="5400"/>
    <n v="0"/>
    <s v="Thabo M."/>
    <s v="Retail"/>
    <s v="EFT"/>
    <x v="87"/>
    <x v="3"/>
    <n v="1"/>
    <n v="3348"/>
    <n v="8208"/>
  </r>
  <r>
    <s v="ORD-1113"/>
    <d v="2025-03-12T00:00:00"/>
    <x v="2"/>
    <s v="Cape Town"/>
    <x v="4"/>
    <x v="14"/>
    <n v="4"/>
    <n v="2300"/>
    <n v="0.1"/>
    <s v="Naledi P."/>
    <s v="Business"/>
    <s v="Cash"/>
    <x v="88"/>
    <x v="3"/>
    <n v="1"/>
    <n v="1426"/>
    <n v="2576"/>
  </r>
  <r>
    <s v="ORD-1114"/>
    <d v="2025-03-12T00:00:00"/>
    <x v="6"/>
    <s v="Polokwane"/>
    <x v="3"/>
    <x v="4"/>
    <n v="2"/>
    <n v="520"/>
    <n v="0"/>
    <s v="Naledi P."/>
    <s v="Retail"/>
    <s v="Cash"/>
    <x v="60"/>
    <x v="3"/>
    <n v="1"/>
    <n v="322"/>
    <n v="396"/>
  </r>
  <r>
    <s v="ORD-1115"/>
    <d v="2025-03-13T00:00:00"/>
    <x v="6"/>
    <s v="Polokwane"/>
    <x v="2"/>
    <x v="2"/>
    <n v="17"/>
    <n v="120"/>
    <n v="0.1"/>
    <s v="Pieter V."/>
    <s v="Retail"/>
    <s v="Card"/>
    <x v="89"/>
    <x v="3"/>
    <n v="1"/>
    <n v="74"/>
    <n v="578"/>
  </r>
  <r>
    <s v="ORD-1116"/>
    <d v="2025-03-13T00:00:00"/>
    <x v="4"/>
    <s v="Sandton"/>
    <x v="1"/>
    <x v="7"/>
    <n v="3"/>
    <n v="12500"/>
    <n v="0.05"/>
    <s v="Pieter V."/>
    <s v="Retail"/>
    <s v="EFT"/>
    <x v="79"/>
    <x v="3"/>
    <n v="1"/>
    <n v="7750"/>
    <n v="12375"/>
  </r>
  <r>
    <s v="ORD-1117"/>
    <d v="2025-03-13T00:00:00"/>
    <x v="6"/>
    <s v="Polokwane"/>
    <x v="4"/>
    <x v="14"/>
    <n v="2"/>
    <n v="2300"/>
    <n v="0.05"/>
    <s v="Pieter V."/>
    <s v="Business"/>
    <s v="Cash"/>
    <x v="90"/>
    <x v="3"/>
    <n v="1"/>
    <n v="1426"/>
    <n v="1518"/>
  </r>
  <r>
    <s v="ORD-1118"/>
    <d v="2025-03-14T00:00:00"/>
    <x v="4"/>
    <s v="Sandton"/>
    <x v="2"/>
    <x v="9"/>
    <n v="39"/>
    <n v="85"/>
    <n v="0.05"/>
    <s v="Ayesha D."/>
    <s v="Retail"/>
    <s v="Mobile Wallet"/>
    <x v="91"/>
    <x v="3"/>
    <n v="1"/>
    <n v="53"/>
    <n v="1082.25"/>
  </r>
  <r>
    <s v="ORD-1119"/>
    <d v="2025-03-15T00:00:00"/>
    <x v="4"/>
    <s v="Pretoria"/>
    <x v="3"/>
    <x v="4"/>
    <n v="1"/>
    <n v="520"/>
    <n v="0.05"/>
    <s v="Pieter V."/>
    <s v="Retail"/>
    <s v="Card"/>
    <x v="92"/>
    <x v="3"/>
    <n v="1"/>
    <n v="322"/>
    <n v="172"/>
  </r>
  <r>
    <s v="ORD-1120"/>
    <d v="2025-03-16T00:00:00"/>
    <x v="2"/>
    <s v="Cape Town"/>
    <x v="2"/>
    <x v="9"/>
    <n v="8"/>
    <n v="85"/>
    <n v="0.1"/>
    <s v="Naledi P."/>
    <s v="Retail"/>
    <s v="Mobile Wallet"/>
    <x v="93"/>
    <x v="3"/>
    <n v="1"/>
    <n v="53"/>
    <n v="188"/>
  </r>
  <r>
    <s v="ORD-1121"/>
    <d v="2025-03-17T00:00:00"/>
    <x v="5"/>
    <s v="Gqeberha"/>
    <x v="1"/>
    <x v="12"/>
    <n v="1"/>
    <n v="5400"/>
    <n v="0.1"/>
    <s v="Ayesha D."/>
    <s v="Retail"/>
    <s v="Card"/>
    <x v="94"/>
    <x v="3"/>
    <n v="1"/>
    <n v="3348"/>
    <n v="1512"/>
  </r>
  <r>
    <s v="ORD-1122"/>
    <d v="2025-03-17T00:00:00"/>
    <x v="4"/>
    <s v="Johannesburg"/>
    <x v="4"/>
    <x v="5"/>
    <n v="4"/>
    <n v="1900"/>
    <n v="0.15"/>
    <s v="Lerato K."/>
    <s v="Retail"/>
    <s v="Mobile Wallet"/>
    <x v="95"/>
    <x v="3"/>
    <n v="1"/>
    <n v="1178"/>
    <n v="1748"/>
  </r>
  <r>
    <s v="ORD-1123"/>
    <d v="2025-03-18T00:00:00"/>
    <x v="5"/>
    <s v="Gqeberha"/>
    <x v="3"/>
    <x v="4"/>
    <n v="2"/>
    <n v="520"/>
    <n v="0.1"/>
    <s v="Lerato K."/>
    <s v="Retail"/>
    <s v="Mobile Wallet"/>
    <x v="96"/>
    <x v="3"/>
    <n v="1"/>
    <n v="322"/>
    <n v="292"/>
  </r>
  <r>
    <s v="ORD-1124"/>
    <d v="2025-03-18T00:00:00"/>
    <x v="4"/>
    <s v="Johannesburg"/>
    <x v="2"/>
    <x v="2"/>
    <n v="34"/>
    <n v="120"/>
    <n v="0.1"/>
    <s v="Sipho N."/>
    <s v="Retail"/>
    <s v="Cash"/>
    <x v="97"/>
    <x v="3"/>
    <n v="1"/>
    <n v="74"/>
    <n v="1156"/>
  </r>
  <r>
    <s v="ORD-1125"/>
    <d v="2025-03-19T00:00:00"/>
    <x v="2"/>
    <s v="Cape Town"/>
    <x v="2"/>
    <x v="9"/>
    <n v="22"/>
    <n v="85"/>
    <n v="0.1"/>
    <s v="Sipho N."/>
    <s v="Retail"/>
    <s v="Cash"/>
    <x v="98"/>
    <x v="3"/>
    <n v="1"/>
    <n v="53"/>
    <n v="517"/>
  </r>
  <r>
    <s v="ORD-1126"/>
    <d v="2025-03-20T00:00:00"/>
    <x v="4"/>
    <s v="Johannesburg"/>
    <x v="3"/>
    <x v="13"/>
    <n v="4"/>
    <n v="180"/>
    <n v="0"/>
    <s v="Naledi P."/>
    <s v="Retail"/>
    <s v="Cash"/>
    <x v="74"/>
    <x v="3"/>
    <n v="1"/>
    <n v="112"/>
    <n v="272"/>
  </r>
  <r>
    <s v="ORD-1127"/>
    <d v="2025-03-20T00:00:00"/>
    <x v="4"/>
    <s v="Sandton"/>
    <x v="1"/>
    <x v="11"/>
    <n v="4"/>
    <n v="3100"/>
    <n v="0.05"/>
    <s v="Sipho N."/>
    <s v="Business"/>
    <s v="EFT"/>
    <x v="99"/>
    <x v="3"/>
    <n v="1"/>
    <n v="1922"/>
    <n v="4092"/>
  </r>
  <r>
    <s v="ORD-1128"/>
    <d v="2025-03-20T00:00:00"/>
    <x v="4"/>
    <s v="Sandton"/>
    <x v="1"/>
    <x v="11"/>
    <n v="1"/>
    <n v="3100"/>
    <n v="0"/>
    <s v="Naledi P."/>
    <s v="Business"/>
    <s v="Mobile Wallet"/>
    <x v="100"/>
    <x v="3"/>
    <n v="1"/>
    <n v="1922"/>
    <n v="1178"/>
  </r>
  <r>
    <s v="ORD-1129"/>
    <d v="2025-03-21T00:00:00"/>
    <x v="4"/>
    <s v="Sandton"/>
    <x v="1"/>
    <x v="10"/>
    <n v="3"/>
    <n v="1450"/>
    <n v="0.1"/>
    <s v="Ayesha D."/>
    <s v="Retail"/>
    <s v="Card"/>
    <x v="11"/>
    <x v="3"/>
    <n v="1"/>
    <n v="899"/>
    <n v="1218"/>
  </r>
  <r>
    <s v="ORD-1130"/>
    <d v="2025-03-21T00:00:00"/>
    <x v="3"/>
    <s v="Durban"/>
    <x v="2"/>
    <x v="9"/>
    <n v="20"/>
    <n v="85"/>
    <n v="0"/>
    <s v="Ayesha D."/>
    <s v="Business"/>
    <s v="EFT"/>
    <x v="101"/>
    <x v="3"/>
    <n v="1"/>
    <n v="53"/>
    <n v="640"/>
  </r>
  <r>
    <s v="ORD-1131"/>
    <d v="2025-03-21T00:00:00"/>
    <x v="4"/>
    <s v="Johannesburg"/>
    <x v="2"/>
    <x v="6"/>
    <n v="31"/>
    <n v="210"/>
    <n v="0"/>
    <s v="Ayesha D."/>
    <s v="Retail"/>
    <s v="EFT"/>
    <x v="102"/>
    <x v="3"/>
    <n v="1"/>
    <n v="130"/>
    <n v="2480"/>
  </r>
  <r>
    <s v="ORD-1132"/>
    <d v="2025-03-22T00:00:00"/>
    <x v="6"/>
    <s v="Polokwane"/>
    <x v="1"/>
    <x v="7"/>
    <n v="4"/>
    <n v="12500"/>
    <n v="0.15"/>
    <s v="Naledi P."/>
    <s v="Retail"/>
    <s v="EFT"/>
    <x v="103"/>
    <x v="3"/>
    <n v="1"/>
    <n v="7750"/>
    <n v="11500"/>
  </r>
  <r>
    <s v="ORD-1133"/>
    <d v="2025-03-22T00:00:00"/>
    <x v="6"/>
    <s v="Polokwane"/>
    <x v="3"/>
    <x v="13"/>
    <n v="3"/>
    <n v="180"/>
    <n v="0.15"/>
    <s v="Thabo M."/>
    <s v="Business"/>
    <s v="Card"/>
    <x v="104"/>
    <x v="3"/>
    <n v="1"/>
    <n v="112"/>
    <n v="123"/>
  </r>
  <r>
    <s v="ORD-1134"/>
    <d v="2025-03-23T00:00:00"/>
    <x v="2"/>
    <s v="Cape Town"/>
    <x v="2"/>
    <x v="6"/>
    <n v="16"/>
    <n v="210"/>
    <n v="0.05"/>
    <s v="Lerato K."/>
    <s v="Business"/>
    <s v="Card"/>
    <x v="105"/>
    <x v="3"/>
    <n v="1"/>
    <n v="130"/>
    <n v="1112"/>
  </r>
  <r>
    <s v="ORD-1135"/>
    <d v="2025-03-23T00:00:00"/>
    <x v="2"/>
    <s v="Stellenbosch"/>
    <x v="3"/>
    <x v="4"/>
    <n v="2"/>
    <n v="520"/>
    <n v="0.15"/>
    <s v="Sipho N."/>
    <s v="Business"/>
    <s v="Card"/>
    <x v="106"/>
    <x v="3"/>
    <n v="1"/>
    <n v="322"/>
    <n v="240"/>
  </r>
  <r>
    <s v="ORD-1136"/>
    <d v="2025-03-23T00:00:00"/>
    <x v="2"/>
    <s v="Cape Town"/>
    <x v="1"/>
    <x v="11"/>
    <n v="3"/>
    <n v="3100"/>
    <n v="0"/>
    <s v="Naledi P."/>
    <s v="Business"/>
    <s v="Mobile Wallet"/>
    <x v="38"/>
    <x v="3"/>
    <n v="1"/>
    <n v="1922"/>
    <n v="3534"/>
  </r>
  <r>
    <s v="ORD-1137"/>
    <d v="2025-03-24T00:00:00"/>
    <x v="5"/>
    <s v="East London"/>
    <x v="1"/>
    <x v="12"/>
    <n v="3"/>
    <n v="5400"/>
    <n v="0"/>
    <s v="Thabo M."/>
    <s v="Retail"/>
    <s v="Mobile Wallet"/>
    <x v="36"/>
    <x v="3"/>
    <n v="1"/>
    <n v="3348"/>
    <n v="6156"/>
  </r>
  <r>
    <s v="ORD-1138"/>
    <d v="2025-03-25T00:00:00"/>
    <x v="4"/>
    <s v="Johannesburg"/>
    <x v="2"/>
    <x v="6"/>
    <n v="5"/>
    <n v="210"/>
    <n v="0.15"/>
    <s v="Sipho N."/>
    <s v="Business"/>
    <s v="EFT"/>
    <x v="107"/>
    <x v="3"/>
    <n v="1"/>
    <n v="130"/>
    <n v="242.5"/>
  </r>
  <r>
    <s v="ORD-1139"/>
    <d v="2025-03-26T00:00:00"/>
    <x v="3"/>
    <s v="Pietermaritzburg"/>
    <x v="1"/>
    <x v="12"/>
    <n v="4"/>
    <n v="5400"/>
    <n v="0.1"/>
    <s v="Sipho N."/>
    <s v="Retail"/>
    <s v="Card"/>
    <x v="43"/>
    <x v="3"/>
    <n v="1"/>
    <n v="3348"/>
    <n v="6048"/>
  </r>
  <r>
    <s v="ORD-1140"/>
    <d v="2025-03-26T00:00:00"/>
    <x v="6"/>
    <s v="Polokwane"/>
    <x v="1"/>
    <x v="12"/>
    <n v="3"/>
    <n v="5400"/>
    <n v="0"/>
    <s v="Thabo M."/>
    <s v="Retail"/>
    <s v="EFT"/>
    <x v="36"/>
    <x v="3"/>
    <n v="1"/>
    <n v="3348"/>
    <n v="6156"/>
  </r>
  <r>
    <s v="ORD-1141"/>
    <d v="2025-03-27T00:00:00"/>
    <x v="3"/>
    <s v="Pietermaritzburg"/>
    <x v="4"/>
    <x v="5"/>
    <n v="3"/>
    <n v="1900"/>
    <n v="0.1"/>
    <s v="Ayesha D."/>
    <s v="Retail"/>
    <s v="Cash"/>
    <x v="5"/>
    <x v="3"/>
    <n v="1"/>
    <n v="1178"/>
    <n v="1596"/>
  </r>
  <r>
    <s v="ORD-1142"/>
    <d v="2025-03-28T00:00:00"/>
    <x v="4"/>
    <s v="Johannesburg"/>
    <x v="2"/>
    <x v="6"/>
    <n v="8"/>
    <n v="210"/>
    <n v="0.15"/>
    <s v="Thabo M."/>
    <s v="Retail"/>
    <s v="EFT"/>
    <x v="108"/>
    <x v="3"/>
    <n v="1"/>
    <n v="130"/>
    <n v="388"/>
  </r>
  <r>
    <s v="ORD-1143"/>
    <d v="2025-03-29T00:00:00"/>
    <x v="3"/>
    <s v="Pietermaritzburg"/>
    <x v="4"/>
    <x v="8"/>
    <n v="1"/>
    <n v="3600"/>
    <n v="0.15"/>
    <s v="Sipho N."/>
    <s v="Retail"/>
    <s v="EFT"/>
    <x v="109"/>
    <x v="3"/>
    <n v="1"/>
    <n v="2232"/>
    <n v="828"/>
  </r>
  <r>
    <s v="ORD-1144"/>
    <d v="2025-03-31T00:00:00"/>
    <x v="6"/>
    <s v="Polokwane"/>
    <x v="1"/>
    <x v="10"/>
    <n v="2"/>
    <n v="1450"/>
    <n v="0.05"/>
    <s v="Ayesha D."/>
    <s v="Business"/>
    <s v="Cash"/>
    <x v="110"/>
    <x v="3"/>
    <n v="1"/>
    <n v="899"/>
    <n v="957"/>
  </r>
  <r>
    <s v="ORD-1145"/>
    <d v="2025-03-31T00:00:00"/>
    <x v="3"/>
    <s v="Pietermaritzburg"/>
    <x v="4"/>
    <x v="8"/>
    <n v="2"/>
    <n v="3600"/>
    <n v="0"/>
    <s v="Ayesha D."/>
    <s v="Business"/>
    <s v="Card"/>
    <x v="40"/>
    <x v="3"/>
    <n v="1"/>
    <n v="2232"/>
    <n v="2736"/>
  </r>
  <r>
    <s v="ORD-1146"/>
    <d v="2025-04-01T00:00:00"/>
    <x v="2"/>
    <s v="Stellenbosch"/>
    <x v="2"/>
    <x v="2"/>
    <n v="9"/>
    <n v="120"/>
    <n v="0.1"/>
    <s v="Thabo M."/>
    <s v="Retail"/>
    <s v="EFT"/>
    <x v="111"/>
    <x v="4"/>
    <n v="2"/>
    <n v="74"/>
    <n v="306"/>
  </r>
  <r>
    <s v="ORD-1147"/>
    <d v="2025-04-02T00:00:00"/>
    <x v="2"/>
    <s v="Cape Town"/>
    <x v="2"/>
    <x v="9"/>
    <n v="25"/>
    <n v="85"/>
    <n v="0.1"/>
    <s v="Naledi P."/>
    <s v="Retail"/>
    <s v="EFT"/>
    <x v="112"/>
    <x v="4"/>
    <n v="2"/>
    <n v="53"/>
    <n v="587.5"/>
  </r>
  <r>
    <s v="ORD-1148"/>
    <d v="2025-04-02T00:00:00"/>
    <x v="2"/>
    <s v="Cape Town"/>
    <x v="3"/>
    <x v="3"/>
    <n v="4"/>
    <n v="650"/>
    <n v="0"/>
    <s v="Naledi P."/>
    <s v="Retail"/>
    <s v="Mobile Wallet"/>
    <x v="3"/>
    <x v="4"/>
    <n v="2"/>
    <n v="403"/>
    <n v="988"/>
  </r>
  <r>
    <s v="ORD-1149"/>
    <d v="2025-04-03T00:00:00"/>
    <x v="2"/>
    <s v="Stellenbosch"/>
    <x v="4"/>
    <x v="5"/>
    <n v="3"/>
    <n v="1900"/>
    <n v="0.15"/>
    <s v="Thabo M."/>
    <s v="Retail"/>
    <s v="Card"/>
    <x v="31"/>
    <x v="4"/>
    <n v="2"/>
    <n v="1178"/>
    <n v="1311"/>
  </r>
  <r>
    <s v="ORD-1150"/>
    <d v="2025-04-03T00:00:00"/>
    <x v="4"/>
    <s v="Johannesburg"/>
    <x v="3"/>
    <x v="3"/>
    <n v="1"/>
    <n v="650"/>
    <n v="0.05"/>
    <s v="Sipho N."/>
    <s v="Business"/>
    <s v="Card"/>
    <x v="113"/>
    <x v="4"/>
    <n v="2"/>
    <n v="403"/>
    <n v="214.5"/>
  </r>
  <r>
    <s v="ORD-1151"/>
    <d v="2025-04-04T00:00:00"/>
    <x v="6"/>
    <s v="Polokwane"/>
    <x v="1"/>
    <x v="1"/>
    <n v="1"/>
    <n v="8200"/>
    <n v="0"/>
    <s v="Naledi P."/>
    <s v="Retail"/>
    <s v="EFT"/>
    <x v="20"/>
    <x v="4"/>
    <n v="2"/>
    <n v="5084"/>
    <n v="3116"/>
  </r>
  <r>
    <s v="ORD-1152"/>
    <d v="2025-04-05T00:00:00"/>
    <x v="3"/>
    <s v="Pietermaritzburg"/>
    <x v="3"/>
    <x v="13"/>
    <n v="3"/>
    <n v="180"/>
    <n v="0.05"/>
    <s v="Naledi P."/>
    <s v="Business"/>
    <s v="Mobile Wallet"/>
    <x v="114"/>
    <x v="4"/>
    <n v="2"/>
    <n v="112"/>
    <n v="177"/>
  </r>
  <r>
    <s v="ORD-1153"/>
    <d v="2025-04-06T00:00:00"/>
    <x v="4"/>
    <s v="Sandton"/>
    <x v="4"/>
    <x v="8"/>
    <n v="2"/>
    <n v="3600"/>
    <n v="0.15"/>
    <s v="Sipho N."/>
    <s v="Retail"/>
    <s v="Mobile Wallet"/>
    <x v="115"/>
    <x v="4"/>
    <n v="2"/>
    <n v="2232"/>
    <n v="1656"/>
  </r>
  <r>
    <s v="ORD-1154"/>
    <d v="2025-04-08T00:00:00"/>
    <x v="4"/>
    <s v="Johannesburg"/>
    <x v="2"/>
    <x v="2"/>
    <n v="5"/>
    <n v="120"/>
    <n v="0"/>
    <s v="Sipho N."/>
    <s v="Retail"/>
    <s v="Mobile Wallet"/>
    <x v="116"/>
    <x v="4"/>
    <n v="2"/>
    <n v="74"/>
    <n v="230"/>
  </r>
  <r>
    <s v="ORD-1155"/>
    <d v="2025-04-08T00:00:00"/>
    <x v="4"/>
    <s v="Johannesburg"/>
    <x v="2"/>
    <x v="2"/>
    <n v="20"/>
    <n v="120"/>
    <n v="0.05"/>
    <s v="Sipho N."/>
    <s v="Retail"/>
    <s v="EFT"/>
    <x v="117"/>
    <x v="4"/>
    <n v="2"/>
    <n v="74"/>
    <n v="800"/>
  </r>
  <r>
    <s v="ORD-1156"/>
    <d v="2025-04-09T00:00:00"/>
    <x v="3"/>
    <s v="Durban"/>
    <x v="3"/>
    <x v="3"/>
    <n v="4"/>
    <n v="650"/>
    <n v="0.1"/>
    <s v="Thabo M."/>
    <s v="Retail"/>
    <s v="Card"/>
    <x v="61"/>
    <x v="4"/>
    <n v="2"/>
    <n v="403"/>
    <n v="728"/>
  </r>
  <r>
    <s v="ORD-1157"/>
    <d v="2025-04-09T00:00:00"/>
    <x v="2"/>
    <s v="Stellenbosch"/>
    <x v="1"/>
    <x v="1"/>
    <n v="1"/>
    <n v="8200"/>
    <n v="0"/>
    <s v="Ayesha D."/>
    <s v="Retail"/>
    <s v="Mobile Wallet"/>
    <x v="20"/>
    <x v="4"/>
    <n v="2"/>
    <n v="5084"/>
    <n v="3116"/>
  </r>
  <r>
    <s v="ORD-1158"/>
    <d v="2025-04-09T00:00:00"/>
    <x v="2"/>
    <s v="Cape Town"/>
    <x v="1"/>
    <x v="10"/>
    <n v="2"/>
    <n v="1450"/>
    <n v="0.1"/>
    <s v="Sipho N."/>
    <s v="Retail"/>
    <s v="Cash"/>
    <x v="118"/>
    <x v="4"/>
    <n v="2"/>
    <n v="899"/>
    <n v="812"/>
  </r>
  <r>
    <s v="ORD-1159"/>
    <d v="2025-04-11T00:00:00"/>
    <x v="2"/>
    <s v="Stellenbosch"/>
    <x v="2"/>
    <x v="9"/>
    <n v="20"/>
    <n v="85"/>
    <n v="0"/>
    <s v="Lerato K."/>
    <s v="Business"/>
    <s v="EFT"/>
    <x v="101"/>
    <x v="4"/>
    <n v="2"/>
    <n v="53"/>
    <n v="640"/>
  </r>
  <r>
    <s v="ORD-1160"/>
    <d v="2025-04-12T00:00:00"/>
    <x v="4"/>
    <s v="Johannesburg"/>
    <x v="4"/>
    <x v="8"/>
    <n v="2"/>
    <n v="3600"/>
    <n v="0.15"/>
    <s v="Ayesha D."/>
    <s v="Retail"/>
    <s v="Mobile Wallet"/>
    <x v="115"/>
    <x v="4"/>
    <n v="2"/>
    <n v="2232"/>
    <n v="1656"/>
  </r>
  <r>
    <s v="ORD-1161"/>
    <d v="2025-04-12T00:00:00"/>
    <x v="6"/>
    <s v="Polokwane"/>
    <x v="1"/>
    <x v="7"/>
    <n v="3"/>
    <n v="12500"/>
    <n v="0.15"/>
    <s v="Naledi P."/>
    <s v="Retail"/>
    <s v="Cash"/>
    <x v="119"/>
    <x v="4"/>
    <n v="2"/>
    <n v="7750"/>
    <n v="8625"/>
  </r>
  <r>
    <s v="ORD-1162"/>
    <d v="2025-04-12T00:00:00"/>
    <x v="4"/>
    <s v="Sandton"/>
    <x v="4"/>
    <x v="8"/>
    <n v="4"/>
    <n v="3600"/>
    <n v="0"/>
    <s v="Lerato K."/>
    <s v="Retail"/>
    <s v="EFT"/>
    <x v="65"/>
    <x v="4"/>
    <n v="2"/>
    <n v="2232"/>
    <n v="5472"/>
  </r>
  <r>
    <s v="ORD-1163"/>
    <d v="2025-04-13T00:00:00"/>
    <x v="2"/>
    <s v="Cape Town"/>
    <x v="3"/>
    <x v="13"/>
    <n v="4"/>
    <n v="180"/>
    <n v="0.05"/>
    <s v="Pieter V."/>
    <s v="Retail"/>
    <s v="Mobile Wallet"/>
    <x v="120"/>
    <x v="4"/>
    <n v="2"/>
    <n v="112"/>
    <n v="236"/>
  </r>
  <r>
    <s v="ORD-1164"/>
    <d v="2025-04-15T00:00:00"/>
    <x v="4"/>
    <s v="Pretoria"/>
    <x v="1"/>
    <x v="10"/>
    <n v="1"/>
    <n v="1450"/>
    <n v="0.05"/>
    <s v="Sipho N."/>
    <s v="Retail"/>
    <s v="EFT"/>
    <x v="121"/>
    <x v="4"/>
    <n v="2"/>
    <n v="899"/>
    <n v="478.5"/>
  </r>
  <r>
    <s v="ORD-1165"/>
    <d v="2025-04-17T00:00:00"/>
    <x v="4"/>
    <s v="Sandton"/>
    <x v="1"/>
    <x v="7"/>
    <n v="1"/>
    <n v="12500"/>
    <n v="0"/>
    <s v="Lerato K."/>
    <s v="Business"/>
    <s v="EFT"/>
    <x v="8"/>
    <x v="4"/>
    <n v="2"/>
    <n v="7750"/>
    <n v="4750"/>
  </r>
  <r>
    <s v="ORD-1166"/>
    <d v="2025-04-18T00:00:00"/>
    <x v="4"/>
    <s v="Pretoria"/>
    <x v="4"/>
    <x v="5"/>
    <n v="3"/>
    <n v="1900"/>
    <n v="0"/>
    <s v="Lerato K."/>
    <s v="Business"/>
    <s v="Card"/>
    <x v="33"/>
    <x v="4"/>
    <n v="2"/>
    <n v="1178"/>
    <n v="2166"/>
  </r>
  <r>
    <s v="ORD-1167"/>
    <d v="2025-04-18T00:00:00"/>
    <x v="6"/>
    <s v="Polokwane"/>
    <x v="3"/>
    <x v="3"/>
    <n v="2"/>
    <n v="650"/>
    <n v="0.15"/>
    <s v="Pieter V."/>
    <s v="Business"/>
    <s v="Mobile Wallet"/>
    <x v="122"/>
    <x v="4"/>
    <n v="2"/>
    <n v="403"/>
    <n v="299"/>
  </r>
  <r>
    <s v="ORD-1168"/>
    <d v="2025-04-18T00:00:00"/>
    <x v="2"/>
    <s v="Stellenbosch"/>
    <x v="1"/>
    <x v="10"/>
    <n v="4"/>
    <n v="1450"/>
    <n v="0.05"/>
    <s v="Pieter V."/>
    <s v="Retail"/>
    <s v="Cash"/>
    <x v="85"/>
    <x v="4"/>
    <n v="2"/>
    <n v="899"/>
    <n v="1914"/>
  </r>
  <r>
    <s v="ORD-1169"/>
    <d v="2025-04-19T00:00:00"/>
    <x v="4"/>
    <s v="Pretoria"/>
    <x v="1"/>
    <x v="11"/>
    <n v="4"/>
    <n v="3100"/>
    <n v="0"/>
    <s v="Ayesha D."/>
    <s v="Retail"/>
    <s v="Cash"/>
    <x v="12"/>
    <x v="4"/>
    <n v="2"/>
    <n v="1922"/>
    <n v="4712"/>
  </r>
  <r>
    <s v="ORD-1170"/>
    <d v="2025-04-19T00:00:00"/>
    <x v="4"/>
    <s v="Pretoria"/>
    <x v="1"/>
    <x v="10"/>
    <n v="1"/>
    <n v="1450"/>
    <n v="0.1"/>
    <s v="Lerato K."/>
    <s v="Business"/>
    <s v="Card"/>
    <x v="64"/>
    <x v="4"/>
    <n v="2"/>
    <n v="899"/>
    <n v="406"/>
  </r>
  <r>
    <s v="ORD-1171"/>
    <d v="2025-04-20T00:00:00"/>
    <x v="2"/>
    <s v="Stellenbosch"/>
    <x v="1"/>
    <x v="11"/>
    <n v="3"/>
    <n v="3100"/>
    <n v="0"/>
    <s v="Lerato K."/>
    <s v="Retail"/>
    <s v="Mobile Wallet"/>
    <x v="38"/>
    <x v="4"/>
    <n v="2"/>
    <n v="1922"/>
    <n v="3534"/>
  </r>
  <r>
    <s v="ORD-1172"/>
    <d v="2025-04-21T00:00:00"/>
    <x v="5"/>
    <s v="East London"/>
    <x v="2"/>
    <x v="9"/>
    <n v="40"/>
    <n v="85"/>
    <n v="0.15"/>
    <s v="Ayesha D."/>
    <s v="Retail"/>
    <s v="Mobile Wallet"/>
    <x v="123"/>
    <x v="4"/>
    <n v="2"/>
    <n v="53"/>
    <n v="770"/>
  </r>
  <r>
    <s v="ORD-1173"/>
    <d v="2025-04-22T00:00:00"/>
    <x v="3"/>
    <s v="Pietermaritzburg"/>
    <x v="3"/>
    <x v="3"/>
    <n v="4"/>
    <n v="650"/>
    <n v="0"/>
    <s v="Ayesha D."/>
    <s v="Business"/>
    <s v="EFT"/>
    <x v="3"/>
    <x v="4"/>
    <n v="2"/>
    <n v="403"/>
    <n v="988"/>
  </r>
  <r>
    <s v="ORD-1174"/>
    <d v="2025-04-23T00:00:00"/>
    <x v="3"/>
    <s v="Pietermaritzburg"/>
    <x v="1"/>
    <x v="12"/>
    <n v="2"/>
    <n v="5400"/>
    <n v="0.1"/>
    <s v="Ayesha D."/>
    <s v="Business"/>
    <s v="Card"/>
    <x v="37"/>
    <x v="4"/>
    <n v="2"/>
    <n v="3348"/>
    <n v="3024"/>
  </r>
  <r>
    <s v="ORD-1175"/>
    <d v="2025-04-23T00:00:00"/>
    <x v="5"/>
    <s v="Gqeberha"/>
    <x v="3"/>
    <x v="4"/>
    <n v="1"/>
    <n v="520"/>
    <n v="0.05"/>
    <s v="Lerato K."/>
    <s v="Business"/>
    <s v="EFT"/>
    <x v="92"/>
    <x v="4"/>
    <n v="2"/>
    <n v="322"/>
    <n v="172"/>
  </r>
  <r>
    <s v="ORD-1176"/>
    <d v="2025-04-23T00:00:00"/>
    <x v="3"/>
    <s v="Durban"/>
    <x v="1"/>
    <x v="1"/>
    <n v="2"/>
    <n v="8200"/>
    <n v="0.1"/>
    <s v="Naledi P."/>
    <s v="Retail"/>
    <s v="Mobile Wallet"/>
    <x v="42"/>
    <x v="4"/>
    <n v="2"/>
    <n v="5084"/>
    <n v="4592"/>
  </r>
  <r>
    <s v="ORD-1177"/>
    <d v="2025-04-23T00:00:00"/>
    <x v="2"/>
    <s v="Cape Town"/>
    <x v="2"/>
    <x v="6"/>
    <n v="39"/>
    <n v="210"/>
    <n v="0.1"/>
    <s v="Naledi P."/>
    <s v="Retail"/>
    <s v="Cash"/>
    <x v="124"/>
    <x v="4"/>
    <n v="2"/>
    <n v="130"/>
    <n v="2301"/>
  </r>
  <r>
    <s v="ORD-1178"/>
    <d v="2025-04-24T00:00:00"/>
    <x v="6"/>
    <s v="Polokwane"/>
    <x v="2"/>
    <x v="2"/>
    <n v="37"/>
    <n v="120"/>
    <n v="0.15"/>
    <s v="Ayesha D."/>
    <s v="Retail"/>
    <s v="EFT"/>
    <x v="125"/>
    <x v="4"/>
    <n v="2"/>
    <n v="74"/>
    <n v="1036"/>
  </r>
  <r>
    <s v="ORD-1179"/>
    <d v="2025-04-24T00:00:00"/>
    <x v="1"/>
    <s v="Bloemfontein"/>
    <x v="1"/>
    <x v="1"/>
    <n v="2"/>
    <n v="8200"/>
    <n v="0"/>
    <s v="Pieter V."/>
    <s v="Retail"/>
    <s v="Cash"/>
    <x v="126"/>
    <x v="4"/>
    <n v="2"/>
    <n v="5084"/>
    <n v="6232"/>
  </r>
  <r>
    <s v="ORD-1180"/>
    <d v="2025-04-26T00:00:00"/>
    <x v="5"/>
    <s v="Gqeberha"/>
    <x v="1"/>
    <x v="11"/>
    <n v="3"/>
    <n v="3100"/>
    <n v="0.05"/>
    <s v="Naledi P."/>
    <s v="Retail"/>
    <s v="EFT"/>
    <x v="58"/>
    <x v="4"/>
    <n v="2"/>
    <n v="1922"/>
    <n v="3069"/>
  </r>
  <r>
    <s v="ORD-1181"/>
    <d v="2025-04-26T00:00:00"/>
    <x v="3"/>
    <s v="Durban"/>
    <x v="1"/>
    <x v="11"/>
    <n v="1"/>
    <n v="3100"/>
    <n v="0"/>
    <s v="Naledi P."/>
    <s v="Retail"/>
    <s v="Mobile Wallet"/>
    <x v="100"/>
    <x v="4"/>
    <n v="2"/>
    <n v="1922"/>
    <n v="1178"/>
  </r>
  <r>
    <s v="ORD-1182"/>
    <d v="2025-04-26T00:00:00"/>
    <x v="3"/>
    <s v="Durban"/>
    <x v="1"/>
    <x v="7"/>
    <n v="1"/>
    <n v="12500"/>
    <n v="0.05"/>
    <s v="Naledi P."/>
    <s v="Retail"/>
    <s v="Cash"/>
    <x v="127"/>
    <x v="4"/>
    <n v="2"/>
    <n v="7750"/>
    <n v="4125"/>
  </r>
  <r>
    <s v="ORD-1183"/>
    <d v="2025-04-27T00:00:00"/>
    <x v="6"/>
    <s v="Polokwane"/>
    <x v="2"/>
    <x v="9"/>
    <n v="38"/>
    <n v="85"/>
    <n v="0"/>
    <s v="Lerato K."/>
    <s v="Retail"/>
    <s v="Mobile Wallet"/>
    <x v="128"/>
    <x v="4"/>
    <n v="2"/>
    <n v="53"/>
    <n v="1216"/>
  </r>
  <r>
    <s v="ORD-1184"/>
    <d v="2025-04-27T00:00:00"/>
    <x v="4"/>
    <s v="Johannesburg"/>
    <x v="1"/>
    <x v="11"/>
    <n v="3"/>
    <n v="3100"/>
    <n v="0.1"/>
    <s v="Pieter V."/>
    <s v="Business"/>
    <s v="EFT"/>
    <x v="129"/>
    <x v="4"/>
    <n v="2"/>
    <n v="1922"/>
    <n v="2604"/>
  </r>
  <r>
    <s v="ORD-1185"/>
    <d v="2025-04-28T00:00:00"/>
    <x v="4"/>
    <s v="Johannesburg"/>
    <x v="3"/>
    <x v="4"/>
    <n v="2"/>
    <n v="520"/>
    <n v="0.15"/>
    <s v="Naledi P."/>
    <s v="Business"/>
    <s v="Cash"/>
    <x v="106"/>
    <x v="4"/>
    <n v="2"/>
    <n v="322"/>
    <n v="240"/>
  </r>
  <r>
    <s v="ORD-1186"/>
    <d v="2025-04-29T00:00:00"/>
    <x v="2"/>
    <s v="Stellenbosch"/>
    <x v="1"/>
    <x v="12"/>
    <n v="3"/>
    <n v="5400"/>
    <n v="0.05"/>
    <s v="Ayesha D."/>
    <s v="Retail"/>
    <s v="Card"/>
    <x v="130"/>
    <x v="4"/>
    <n v="2"/>
    <n v="3348"/>
    <n v="5346"/>
  </r>
  <r>
    <s v="ORD-1187"/>
    <d v="2025-04-29T00:00:00"/>
    <x v="3"/>
    <s v="Pietermaritzburg"/>
    <x v="2"/>
    <x v="2"/>
    <n v="8"/>
    <n v="120"/>
    <n v="0"/>
    <s v="Naledi P."/>
    <s v="Retail"/>
    <s v="Card"/>
    <x v="131"/>
    <x v="4"/>
    <n v="2"/>
    <n v="74"/>
    <n v="368"/>
  </r>
  <r>
    <s v="ORD-1188"/>
    <d v="2025-04-30T00:00:00"/>
    <x v="3"/>
    <s v="Pietermaritzburg"/>
    <x v="4"/>
    <x v="14"/>
    <n v="3"/>
    <n v="2300"/>
    <n v="0"/>
    <s v="Ayesha D."/>
    <s v="Retail"/>
    <s v="Mobile Wallet"/>
    <x v="132"/>
    <x v="4"/>
    <n v="2"/>
    <n v="1426"/>
    <n v="2622"/>
  </r>
  <r>
    <s v="ORD-1189"/>
    <d v="2025-04-30T00:00:00"/>
    <x v="4"/>
    <s v="Sandton"/>
    <x v="4"/>
    <x v="5"/>
    <n v="4"/>
    <n v="1900"/>
    <n v="0.05"/>
    <s v="Lerato K."/>
    <s v="Business"/>
    <s v="Mobile Wallet"/>
    <x v="133"/>
    <x v="4"/>
    <n v="2"/>
    <n v="1178"/>
    <n v="2508"/>
  </r>
  <r>
    <s v="ORD-1190"/>
    <d v="2025-05-01T00:00:00"/>
    <x v="5"/>
    <s v="East London"/>
    <x v="1"/>
    <x v="1"/>
    <n v="2"/>
    <n v="8200"/>
    <n v="0.15"/>
    <s v="Thabo M."/>
    <s v="Retail"/>
    <s v="EFT"/>
    <x v="134"/>
    <x v="5"/>
    <n v="2"/>
    <n v="5084"/>
    <n v="3772"/>
  </r>
  <r>
    <s v="ORD-1191"/>
    <d v="2025-05-01T00:00:00"/>
    <x v="3"/>
    <s v="Durban"/>
    <x v="4"/>
    <x v="8"/>
    <n v="4"/>
    <n v="3600"/>
    <n v="0"/>
    <s v="Sipho N."/>
    <s v="Retail"/>
    <s v="Card"/>
    <x v="65"/>
    <x v="5"/>
    <n v="2"/>
    <n v="2232"/>
    <n v="5472"/>
  </r>
  <r>
    <s v="ORD-1192"/>
    <d v="2025-05-01T00:00:00"/>
    <x v="2"/>
    <s v="Stellenbosch"/>
    <x v="1"/>
    <x v="11"/>
    <n v="1"/>
    <n v="3100"/>
    <n v="0"/>
    <s v="Thabo M."/>
    <s v="Retail"/>
    <s v="Mobile Wallet"/>
    <x v="100"/>
    <x v="5"/>
    <n v="2"/>
    <n v="1922"/>
    <n v="1178"/>
  </r>
  <r>
    <s v="ORD-1193"/>
    <d v="2025-05-01T00:00:00"/>
    <x v="2"/>
    <s v="Stellenbosch"/>
    <x v="2"/>
    <x v="2"/>
    <n v="11"/>
    <n v="120"/>
    <n v="0"/>
    <s v="Thabo M."/>
    <s v="Retail"/>
    <s v="Card"/>
    <x v="135"/>
    <x v="5"/>
    <n v="2"/>
    <n v="74"/>
    <n v="506"/>
  </r>
  <r>
    <s v="ORD-1194"/>
    <d v="2025-05-02T00:00:00"/>
    <x v="2"/>
    <s v="Stellenbosch"/>
    <x v="2"/>
    <x v="9"/>
    <n v="29"/>
    <n v="85"/>
    <n v="0"/>
    <s v="Sipho N."/>
    <s v="Retail"/>
    <s v="Card"/>
    <x v="136"/>
    <x v="5"/>
    <n v="2"/>
    <n v="53"/>
    <n v="928"/>
  </r>
  <r>
    <s v="ORD-1195"/>
    <d v="2025-05-02T00:00:00"/>
    <x v="1"/>
    <s v="Bloemfontein"/>
    <x v="3"/>
    <x v="3"/>
    <n v="2"/>
    <n v="650"/>
    <n v="0.15"/>
    <s v="Naledi P."/>
    <s v="Retail"/>
    <s v="Cash"/>
    <x v="122"/>
    <x v="5"/>
    <n v="2"/>
    <n v="403"/>
    <n v="299"/>
  </r>
  <r>
    <s v="ORD-1196"/>
    <d v="2025-05-03T00:00:00"/>
    <x v="4"/>
    <s v="Johannesburg"/>
    <x v="1"/>
    <x v="11"/>
    <n v="1"/>
    <n v="3100"/>
    <n v="0"/>
    <s v="Naledi P."/>
    <s v="Retail"/>
    <s v="Cash"/>
    <x v="100"/>
    <x v="5"/>
    <n v="2"/>
    <n v="1922"/>
    <n v="1178"/>
  </r>
  <r>
    <s v="ORD-1197"/>
    <d v="2025-05-03T00:00:00"/>
    <x v="5"/>
    <s v="East London"/>
    <x v="4"/>
    <x v="5"/>
    <n v="3"/>
    <n v="1900"/>
    <n v="0"/>
    <s v="Ayesha D."/>
    <s v="Retail"/>
    <s v="EFT"/>
    <x v="33"/>
    <x v="5"/>
    <n v="2"/>
    <n v="1178"/>
    <n v="2166"/>
  </r>
  <r>
    <s v="ORD-1198"/>
    <d v="2025-05-03T00:00:00"/>
    <x v="4"/>
    <s v="Pretoria"/>
    <x v="4"/>
    <x v="5"/>
    <n v="1"/>
    <n v="1900"/>
    <n v="0.05"/>
    <s v="Sipho N."/>
    <s v="Business"/>
    <s v="Mobile Wallet"/>
    <x v="19"/>
    <x v="5"/>
    <n v="2"/>
    <n v="1178"/>
    <n v="627"/>
  </r>
  <r>
    <s v="ORD-1199"/>
    <d v="2025-05-03T00:00:00"/>
    <x v="1"/>
    <s v="Bloemfontein"/>
    <x v="3"/>
    <x v="13"/>
    <n v="3"/>
    <n v="180"/>
    <n v="0.05"/>
    <s v="Ayesha D."/>
    <s v="Business"/>
    <s v="EFT"/>
    <x v="114"/>
    <x v="5"/>
    <n v="2"/>
    <n v="112"/>
    <n v="177"/>
  </r>
  <r>
    <s v="ORD-1200"/>
    <d v="2025-05-04T00:00:00"/>
    <x v="4"/>
    <s v="Sandton"/>
    <x v="1"/>
    <x v="11"/>
    <n v="2"/>
    <n v="3100"/>
    <n v="0.05"/>
    <s v="Sipho N."/>
    <s v="Retail"/>
    <s v="Mobile Wallet"/>
    <x v="137"/>
    <x v="5"/>
    <n v="2"/>
    <n v="1922"/>
    <n v="2046"/>
  </r>
  <r>
    <s v="ORD-1201"/>
    <d v="2025-05-04T00:00:00"/>
    <x v="4"/>
    <s v="Sandton"/>
    <x v="4"/>
    <x v="14"/>
    <n v="4"/>
    <n v="2300"/>
    <n v="0.1"/>
    <s v="Lerato K."/>
    <s v="Retail"/>
    <s v="Cash"/>
    <x v="88"/>
    <x v="5"/>
    <n v="2"/>
    <n v="1426"/>
    <n v="2576"/>
  </r>
  <r>
    <s v="ORD-1202"/>
    <d v="2025-05-04T00:00:00"/>
    <x v="5"/>
    <s v="East London"/>
    <x v="3"/>
    <x v="4"/>
    <n v="1"/>
    <n v="520"/>
    <n v="0.1"/>
    <s v="Lerato K."/>
    <s v="Retail"/>
    <s v="EFT"/>
    <x v="138"/>
    <x v="5"/>
    <n v="2"/>
    <n v="322"/>
    <n v="146"/>
  </r>
  <r>
    <s v="ORD-1203"/>
    <d v="2025-05-05T00:00:00"/>
    <x v="3"/>
    <s v="Durban"/>
    <x v="2"/>
    <x v="6"/>
    <n v="34"/>
    <n v="210"/>
    <n v="0.15"/>
    <s v="Lerato K."/>
    <s v="Retail"/>
    <s v="Cash"/>
    <x v="139"/>
    <x v="5"/>
    <n v="2"/>
    <n v="130"/>
    <n v="1649"/>
  </r>
  <r>
    <s v="ORD-1204"/>
    <d v="2025-05-05T00:00:00"/>
    <x v="3"/>
    <s v="Pietermaritzburg"/>
    <x v="3"/>
    <x v="4"/>
    <n v="4"/>
    <n v="520"/>
    <n v="0"/>
    <s v="Ayesha D."/>
    <s v="Retail"/>
    <s v="Cash"/>
    <x v="57"/>
    <x v="5"/>
    <n v="2"/>
    <n v="322"/>
    <n v="792"/>
  </r>
  <r>
    <s v="ORD-1205"/>
    <d v="2025-05-05T00:00:00"/>
    <x v="4"/>
    <s v="Pretoria"/>
    <x v="2"/>
    <x v="6"/>
    <n v="29"/>
    <n v="210"/>
    <n v="0"/>
    <s v="Naledi P."/>
    <s v="Business"/>
    <s v="Mobile Wallet"/>
    <x v="140"/>
    <x v="5"/>
    <n v="2"/>
    <n v="130"/>
    <n v="2320"/>
  </r>
  <r>
    <s v="ORD-1206"/>
    <d v="2025-05-05T00:00:00"/>
    <x v="2"/>
    <s v="Stellenbosch"/>
    <x v="2"/>
    <x v="9"/>
    <n v="39"/>
    <n v="85"/>
    <n v="0"/>
    <s v="Sipho N."/>
    <s v="Business"/>
    <s v="Card"/>
    <x v="141"/>
    <x v="5"/>
    <n v="2"/>
    <n v="53"/>
    <n v="1248"/>
  </r>
  <r>
    <s v="ORD-1207"/>
    <d v="2025-05-05T00:00:00"/>
    <x v="3"/>
    <s v="Pietermaritzburg"/>
    <x v="1"/>
    <x v="1"/>
    <n v="2"/>
    <n v="8200"/>
    <n v="0.15"/>
    <s v="Pieter V."/>
    <s v="Retail"/>
    <s v="Mobile Wallet"/>
    <x v="134"/>
    <x v="5"/>
    <n v="2"/>
    <n v="5084"/>
    <n v="3772"/>
  </r>
  <r>
    <s v="ORD-1208"/>
    <d v="2025-05-06T00:00:00"/>
    <x v="4"/>
    <s v="Pretoria"/>
    <x v="3"/>
    <x v="13"/>
    <n v="1"/>
    <n v="180"/>
    <n v="0"/>
    <s v="Thabo M."/>
    <s v="Retail"/>
    <s v="EFT"/>
    <x v="16"/>
    <x v="5"/>
    <n v="2"/>
    <n v="112"/>
    <n v="68"/>
  </r>
  <r>
    <s v="ORD-1209"/>
    <d v="2025-05-06T00:00:00"/>
    <x v="4"/>
    <s v="Pretoria"/>
    <x v="4"/>
    <x v="5"/>
    <n v="2"/>
    <n v="1900"/>
    <n v="0"/>
    <s v="Thabo M."/>
    <s v="Retail"/>
    <s v="Cash"/>
    <x v="142"/>
    <x v="5"/>
    <n v="2"/>
    <n v="1178"/>
    <n v="1444"/>
  </r>
  <r>
    <s v="ORD-1210"/>
    <d v="2025-05-06T00:00:00"/>
    <x v="1"/>
    <s v="Bloemfontein"/>
    <x v="4"/>
    <x v="8"/>
    <n v="1"/>
    <n v="3600"/>
    <n v="0.15"/>
    <s v="Lerato K."/>
    <s v="Retail"/>
    <s v="Cash"/>
    <x v="109"/>
    <x v="5"/>
    <n v="2"/>
    <n v="2232"/>
    <n v="828"/>
  </r>
  <r>
    <s v="ORD-1211"/>
    <d v="2025-05-06T00:00:00"/>
    <x v="5"/>
    <s v="East London"/>
    <x v="4"/>
    <x v="5"/>
    <n v="3"/>
    <n v="1900"/>
    <n v="0.05"/>
    <s v="Thabo M."/>
    <s v="Retail"/>
    <s v="Mobile Wallet"/>
    <x v="18"/>
    <x v="5"/>
    <n v="2"/>
    <n v="1178"/>
    <n v="1881"/>
  </r>
  <r>
    <s v="ORD-1212"/>
    <d v="2025-05-06T00:00:00"/>
    <x v="4"/>
    <s v="Johannesburg"/>
    <x v="4"/>
    <x v="14"/>
    <n v="1"/>
    <n v="2300"/>
    <n v="0"/>
    <s v="Sipho N."/>
    <s v="Retail"/>
    <s v="EFT"/>
    <x v="28"/>
    <x v="5"/>
    <n v="2"/>
    <n v="1426"/>
    <n v="874"/>
  </r>
  <r>
    <s v="ORD-1213"/>
    <d v="2025-05-07T00:00:00"/>
    <x v="4"/>
    <s v="Johannesburg"/>
    <x v="3"/>
    <x v="3"/>
    <n v="2"/>
    <n v="650"/>
    <n v="0"/>
    <s v="Pieter V."/>
    <s v="Retail"/>
    <s v="Mobile Wallet"/>
    <x v="77"/>
    <x v="5"/>
    <n v="2"/>
    <n v="403"/>
    <n v="494"/>
  </r>
  <r>
    <s v="ORD-1214"/>
    <d v="2025-05-07T00:00:00"/>
    <x v="5"/>
    <s v="Gqeberha"/>
    <x v="1"/>
    <x v="10"/>
    <n v="2"/>
    <n v="1450"/>
    <n v="0.15"/>
    <s v="Ayesha D."/>
    <s v="Retail"/>
    <s v="Card"/>
    <x v="136"/>
    <x v="5"/>
    <n v="2"/>
    <n v="899"/>
    <n v="667"/>
  </r>
  <r>
    <s v="ORD-1215"/>
    <d v="2025-05-07T00:00:00"/>
    <x v="3"/>
    <s v="Durban"/>
    <x v="3"/>
    <x v="3"/>
    <n v="4"/>
    <n v="650"/>
    <n v="0.1"/>
    <s v="Naledi P."/>
    <s v="Retail"/>
    <s v="EFT"/>
    <x v="61"/>
    <x v="5"/>
    <n v="2"/>
    <n v="403"/>
    <n v="728"/>
  </r>
  <r>
    <s v="ORD-1216"/>
    <d v="2025-05-08T00:00:00"/>
    <x v="4"/>
    <s v="Sandton"/>
    <x v="1"/>
    <x v="10"/>
    <n v="1"/>
    <n v="1450"/>
    <n v="0.1"/>
    <s v="Thabo M."/>
    <s v="Business"/>
    <s v="EFT"/>
    <x v="64"/>
    <x v="5"/>
    <n v="2"/>
    <n v="899"/>
    <n v="406"/>
  </r>
  <r>
    <s v="ORD-1217"/>
    <d v="2025-05-09T00:00:00"/>
    <x v="4"/>
    <s v="Pretoria"/>
    <x v="4"/>
    <x v="14"/>
    <n v="1"/>
    <n v="2300"/>
    <n v="0"/>
    <s v="Ayesha D."/>
    <s v="Business"/>
    <s v="Cash"/>
    <x v="28"/>
    <x v="5"/>
    <n v="2"/>
    <n v="1426"/>
    <n v="874"/>
  </r>
  <r>
    <s v="ORD-1218"/>
    <d v="2025-05-09T00:00:00"/>
    <x v="2"/>
    <s v="Stellenbosch"/>
    <x v="2"/>
    <x v="9"/>
    <n v="12"/>
    <n v="85"/>
    <n v="0"/>
    <s v="Sipho N."/>
    <s v="Business"/>
    <s v="EFT"/>
    <x v="143"/>
    <x v="5"/>
    <n v="2"/>
    <n v="53"/>
    <n v="384"/>
  </r>
  <r>
    <s v="ORD-1219"/>
    <d v="2025-05-12T00:00:00"/>
    <x v="3"/>
    <s v="Pietermaritzburg"/>
    <x v="3"/>
    <x v="4"/>
    <n v="1"/>
    <n v="520"/>
    <n v="0.15"/>
    <s v="Lerato K."/>
    <s v="Retail"/>
    <s v="EFT"/>
    <x v="144"/>
    <x v="5"/>
    <n v="2"/>
    <n v="322"/>
    <n v="120"/>
  </r>
  <r>
    <s v="ORD-1220"/>
    <d v="2025-05-14T00:00:00"/>
    <x v="4"/>
    <s v="Pretoria"/>
    <x v="1"/>
    <x v="11"/>
    <n v="2"/>
    <n v="3100"/>
    <n v="0.1"/>
    <s v="Naledi P."/>
    <s v="Retail"/>
    <s v="EFT"/>
    <x v="145"/>
    <x v="5"/>
    <n v="2"/>
    <n v="1922"/>
    <n v="1736"/>
  </r>
  <r>
    <s v="ORD-1221"/>
    <d v="2025-05-14T00:00:00"/>
    <x v="2"/>
    <s v="Cape Town"/>
    <x v="2"/>
    <x v="9"/>
    <n v="36"/>
    <n v="85"/>
    <n v="0.15"/>
    <s v="Pieter V."/>
    <s v="Business"/>
    <s v="EFT"/>
    <x v="146"/>
    <x v="5"/>
    <n v="2"/>
    <n v="53"/>
    <n v="693"/>
  </r>
  <r>
    <s v="ORD-1222"/>
    <d v="2025-05-14T00:00:00"/>
    <x v="4"/>
    <s v="Pretoria"/>
    <x v="2"/>
    <x v="2"/>
    <n v="13"/>
    <n v="120"/>
    <n v="0"/>
    <s v="Sipho N."/>
    <s v="Business"/>
    <s v="Card"/>
    <x v="4"/>
    <x v="5"/>
    <n v="2"/>
    <n v="74"/>
    <n v="598"/>
  </r>
  <r>
    <s v="ORD-1223"/>
    <d v="2025-05-15T00:00:00"/>
    <x v="4"/>
    <s v="Johannesburg"/>
    <x v="3"/>
    <x v="4"/>
    <n v="4"/>
    <n v="520"/>
    <n v="0"/>
    <s v="Lerato K."/>
    <s v="Business"/>
    <s v="Mobile Wallet"/>
    <x v="57"/>
    <x v="5"/>
    <n v="2"/>
    <n v="322"/>
    <n v="792"/>
  </r>
  <r>
    <s v="ORD-1224"/>
    <d v="2025-05-15T00:00:00"/>
    <x v="3"/>
    <s v="Pietermaritzburg"/>
    <x v="4"/>
    <x v="8"/>
    <n v="4"/>
    <n v="3600"/>
    <n v="0.05"/>
    <s v="Lerato K."/>
    <s v="Retail"/>
    <s v="Card"/>
    <x v="147"/>
    <x v="5"/>
    <n v="2"/>
    <n v="2232"/>
    <n v="4752"/>
  </r>
  <r>
    <s v="ORD-1225"/>
    <d v="2025-05-16T00:00:00"/>
    <x v="3"/>
    <s v="Pietermaritzburg"/>
    <x v="3"/>
    <x v="13"/>
    <n v="1"/>
    <n v="180"/>
    <n v="0"/>
    <s v="Lerato K."/>
    <s v="Retail"/>
    <s v="EFT"/>
    <x v="16"/>
    <x v="5"/>
    <n v="2"/>
    <n v="112"/>
    <n v="68"/>
  </r>
  <r>
    <s v="ORD-1226"/>
    <d v="2025-05-16T00:00:00"/>
    <x v="2"/>
    <s v="Stellenbosch"/>
    <x v="3"/>
    <x v="13"/>
    <n v="1"/>
    <n v="180"/>
    <n v="0.1"/>
    <s v="Thabo M."/>
    <s v="Retail"/>
    <s v="Cash"/>
    <x v="66"/>
    <x v="5"/>
    <n v="2"/>
    <n v="112"/>
    <n v="50"/>
  </r>
  <r>
    <s v="ORD-1227"/>
    <d v="2025-05-16T00:00:00"/>
    <x v="5"/>
    <s v="Gqeberha"/>
    <x v="2"/>
    <x v="2"/>
    <n v="33"/>
    <n v="120"/>
    <n v="0.1"/>
    <s v="Lerato K."/>
    <s v="Business"/>
    <s v="Card"/>
    <x v="148"/>
    <x v="5"/>
    <n v="2"/>
    <n v="74"/>
    <n v="1122"/>
  </r>
  <r>
    <s v="ORD-1228"/>
    <d v="2025-05-16T00:00:00"/>
    <x v="5"/>
    <s v="Gqeberha"/>
    <x v="3"/>
    <x v="3"/>
    <n v="3"/>
    <n v="650"/>
    <n v="0"/>
    <s v="Naledi P."/>
    <s v="Retail"/>
    <s v="Card"/>
    <x v="149"/>
    <x v="5"/>
    <n v="2"/>
    <n v="403"/>
    <n v="741"/>
  </r>
  <r>
    <s v="ORD-1229"/>
    <d v="2025-05-17T00:00:00"/>
    <x v="1"/>
    <s v="Bloemfontein"/>
    <x v="4"/>
    <x v="5"/>
    <n v="2"/>
    <n v="1900"/>
    <n v="0"/>
    <s v="Ayesha D."/>
    <s v="Retail"/>
    <s v="Cash"/>
    <x v="142"/>
    <x v="5"/>
    <n v="2"/>
    <n v="1178"/>
    <n v="1444"/>
  </r>
  <r>
    <s v="ORD-1230"/>
    <d v="2025-05-18T00:00:00"/>
    <x v="3"/>
    <s v="Pietermaritzburg"/>
    <x v="3"/>
    <x v="4"/>
    <n v="2"/>
    <n v="520"/>
    <n v="0.1"/>
    <s v="Lerato K."/>
    <s v="Business"/>
    <s v="EFT"/>
    <x v="96"/>
    <x v="5"/>
    <n v="2"/>
    <n v="322"/>
    <n v="292"/>
  </r>
  <r>
    <s v="ORD-1231"/>
    <d v="2025-05-19T00:00:00"/>
    <x v="4"/>
    <s v="Pretoria"/>
    <x v="3"/>
    <x v="13"/>
    <n v="3"/>
    <n v="180"/>
    <n v="0.1"/>
    <s v="Pieter V."/>
    <s v="Retail"/>
    <s v="Cash"/>
    <x v="45"/>
    <x v="5"/>
    <n v="2"/>
    <n v="112"/>
    <n v="150"/>
  </r>
  <r>
    <s v="ORD-1232"/>
    <d v="2025-05-20T00:00:00"/>
    <x v="2"/>
    <s v="Cape Town"/>
    <x v="1"/>
    <x v="11"/>
    <n v="2"/>
    <n v="3100"/>
    <n v="0.05"/>
    <s v="Thabo M."/>
    <s v="Business"/>
    <s v="EFT"/>
    <x v="137"/>
    <x v="5"/>
    <n v="2"/>
    <n v="1922"/>
    <n v="2046"/>
  </r>
  <r>
    <s v="ORD-1233"/>
    <d v="2025-05-20T00:00:00"/>
    <x v="1"/>
    <s v="Bloemfontein"/>
    <x v="3"/>
    <x v="3"/>
    <n v="2"/>
    <n v="650"/>
    <n v="0.15"/>
    <s v="Sipho N."/>
    <s v="Business"/>
    <s v="Mobile Wallet"/>
    <x v="122"/>
    <x v="5"/>
    <n v="2"/>
    <n v="403"/>
    <n v="299"/>
  </r>
  <r>
    <s v="ORD-1234"/>
    <d v="2025-05-20T00:00:00"/>
    <x v="4"/>
    <s v="Sandton"/>
    <x v="4"/>
    <x v="5"/>
    <n v="3"/>
    <n v="1900"/>
    <n v="0.15"/>
    <s v="Naledi P."/>
    <s v="Retail"/>
    <s v="Card"/>
    <x v="31"/>
    <x v="5"/>
    <n v="2"/>
    <n v="1178"/>
    <n v="1311"/>
  </r>
  <r>
    <s v="ORD-1235"/>
    <d v="2025-05-21T00:00:00"/>
    <x v="5"/>
    <s v="Gqeberha"/>
    <x v="2"/>
    <x v="6"/>
    <n v="30"/>
    <n v="210"/>
    <n v="0.1"/>
    <s v="Ayesha D."/>
    <s v="Retail"/>
    <s v="Cash"/>
    <x v="150"/>
    <x v="5"/>
    <n v="2"/>
    <n v="130"/>
    <n v="1770"/>
  </r>
  <r>
    <s v="ORD-1236"/>
    <d v="2025-05-22T00:00:00"/>
    <x v="6"/>
    <s v="Polokwane"/>
    <x v="4"/>
    <x v="5"/>
    <n v="1"/>
    <n v="1900"/>
    <n v="0.15"/>
    <s v="Thabo M."/>
    <s v="Business"/>
    <s v="Mobile Wallet"/>
    <x v="151"/>
    <x v="5"/>
    <n v="2"/>
    <n v="1178"/>
    <n v="437"/>
  </r>
  <r>
    <s v="ORD-1237"/>
    <d v="2025-05-22T00:00:00"/>
    <x v="3"/>
    <s v="Pietermaritzburg"/>
    <x v="2"/>
    <x v="6"/>
    <n v="9"/>
    <n v="210"/>
    <n v="0.1"/>
    <s v="Naledi P."/>
    <s v="Retail"/>
    <s v="Mobile Wallet"/>
    <x v="152"/>
    <x v="5"/>
    <n v="2"/>
    <n v="130"/>
    <n v="531"/>
  </r>
  <r>
    <s v="ORD-1238"/>
    <d v="2025-05-22T00:00:00"/>
    <x v="4"/>
    <s v="Pretoria"/>
    <x v="3"/>
    <x v="4"/>
    <n v="3"/>
    <n v="520"/>
    <n v="0"/>
    <s v="Sipho N."/>
    <s v="Retail"/>
    <s v="EFT"/>
    <x v="4"/>
    <x v="5"/>
    <n v="2"/>
    <n v="322"/>
    <n v="594"/>
  </r>
  <r>
    <s v="ORD-1239"/>
    <d v="2025-05-23T00:00:00"/>
    <x v="5"/>
    <s v="East London"/>
    <x v="2"/>
    <x v="9"/>
    <n v="8"/>
    <n v="85"/>
    <n v="0"/>
    <s v="Thabo M."/>
    <s v="Retail"/>
    <s v="Mobile Wallet"/>
    <x v="73"/>
    <x v="5"/>
    <n v="2"/>
    <n v="53"/>
    <n v="256"/>
  </r>
  <r>
    <s v="ORD-1240"/>
    <d v="2025-05-23T00:00:00"/>
    <x v="4"/>
    <s v="Johannesburg"/>
    <x v="1"/>
    <x v="7"/>
    <n v="4"/>
    <n v="12500"/>
    <n v="0.05"/>
    <s v="Thabo M."/>
    <s v="Business"/>
    <s v="Mobile Wallet"/>
    <x v="153"/>
    <x v="5"/>
    <n v="2"/>
    <n v="7750"/>
    <n v="16500"/>
  </r>
  <r>
    <s v="ORD-1241"/>
    <d v="2025-05-23T00:00:00"/>
    <x v="6"/>
    <s v="Polokwane"/>
    <x v="1"/>
    <x v="10"/>
    <n v="3"/>
    <n v="1450"/>
    <n v="0"/>
    <s v="Sipho N."/>
    <s v="Retail"/>
    <s v="Cash"/>
    <x v="154"/>
    <x v="5"/>
    <n v="2"/>
    <n v="899"/>
    <n v="1653"/>
  </r>
  <r>
    <s v="ORD-1242"/>
    <d v="2025-05-23T00:00:00"/>
    <x v="4"/>
    <s v="Sandton"/>
    <x v="1"/>
    <x v="11"/>
    <n v="2"/>
    <n v="3100"/>
    <n v="0"/>
    <s v="Naledi P."/>
    <s v="Retail"/>
    <s v="EFT"/>
    <x v="49"/>
    <x v="5"/>
    <n v="2"/>
    <n v="1922"/>
    <n v="2356"/>
  </r>
  <r>
    <s v="ORD-1243"/>
    <d v="2025-05-25T00:00:00"/>
    <x v="3"/>
    <s v="Durban"/>
    <x v="4"/>
    <x v="8"/>
    <n v="1"/>
    <n v="3600"/>
    <n v="0"/>
    <s v="Naledi P."/>
    <s v="Retail"/>
    <s v="EFT"/>
    <x v="35"/>
    <x v="5"/>
    <n v="2"/>
    <n v="2232"/>
    <n v="1368"/>
  </r>
  <r>
    <s v="ORD-1244"/>
    <d v="2025-05-26T00:00:00"/>
    <x v="3"/>
    <s v="Durban"/>
    <x v="2"/>
    <x v="2"/>
    <n v="5"/>
    <n v="120"/>
    <n v="0.15"/>
    <s v="Sipho N."/>
    <s v="Business"/>
    <s v="Mobile Wallet"/>
    <x v="155"/>
    <x v="5"/>
    <n v="2"/>
    <n v="74"/>
    <n v="140"/>
  </r>
  <r>
    <s v="ORD-1245"/>
    <d v="2025-05-27T00:00:00"/>
    <x v="4"/>
    <s v="Johannesburg"/>
    <x v="3"/>
    <x v="3"/>
    <n v="2"/>
    <n v="650"/>
    <n v="0.05"/>
    <s v="Thabo M."/>
    <s v="Business"/>
    <s v="Card"/>
    <x v="156"/>
    <x v="5"/>
    <n v="2"/>
    <n v="403"/>
    <n v="429"/>
  </r>
  <r>
    <s v="ORD-1246"/>
    <d v="2025-05-28T00:00:00"/>
    <x v="4"/>
    <s v="Pretoria"/>
    <x v="1"/>
    <x v="1"/>
    <n v="2"/>
    <n v="8200"/>
    <n v="0.05"/>
    <s v="Lerato K."/>
    <s v="Retail"/>
    <s v="EFT"/>
    <x v="39"/>
    <x v="5"/>
    <n v="2"/>
    <n v="5084"/>
    <n v="5412"/>
  </r>
  <r>
    <s v="ORD-1247"/>
    <d v="2025-05-28T00:00:00"/>
    <x v="2"/>
    <s v="Cape Town"/>
    <x v="1"/>
    <x v="1"/>
    <n v="2"/>
    <n v="8200"/>
    <n v="0.05"/>
    <s v="Sipho N."/>
    <s v="Business"/>
    <s v="EFT"/>
    <x v="39"/>
    <x v="5"/>
    <n v="2"/>
    <n v="5084"/>
    <n v="5412"/>
  </r>
  <r>
    <s v="ORD-1248"/>
    <d v="2025-05-30T00:00:00"/>
    <x v="3"/>
    <s v="Pietermaritzburg"/>
    <x v="4"/>
    <x v="8"/>
    <n v="2"/>
    <n v="3600"/>
    <n v="0"/>
    <s v="Thabo M."/>
    <s v="Retail"/>
    <s v="Card"/>
    <x v="40"/>
    <x v="5"/>
    <n v="2"/>
    <n v="2232"/>
    <n v="2736"/>
  </r>
  <r>
    <s v="ORD-1249"/>
    <d v="2025-05-31T00:00:00"/>
    <x v="3"/>
    <s v="Pietermaritzburg"/>
    <x v="2"/>
    <x v="9"/>
    <n v="32"/>
    <n v="85"/>
    <n v="0"/>
    <s v="Lerato K."/>
    <s v="Retail"/>
    <s v="Card"/>
    <x v="157"/>
    <x v="5"/>
    <n v="2"/>
    <n v="53"/>
    <n v="1024"/>
  </r>
  <r>
    <s v="ORD-1250"/>
    <d v="2025-06-01T00:00:00"/>
    <x v="2"/>
    <s v="Stellenbosch"/>
    <x v="1"/>
    <x v="10"/>
    <n v="1"/>
    <n v="1450"/>
    <n v="0.15"/>
    <s v="Sipho N."/>
    <s v="Retail"/>
    <s v="EFT"/>
    <x v="158"/>
    <x v="6"/>
    <n v="2"/>
    <n v="899"/>
    <n v="333.5"/>
  </r>
  <r>
    <s v="ORD-1251"/>
    <d v="2025-06-01T00:00:00"/>
    <x v="2"/>
    <s v="Cape Town"/>
    <x v="3"/>
    <x v="3"/>
    <n v="2"/>
    <n v="650"/>
    <n v="0.05"/>
    <s v="Naledi P."/>
    <s v="Retail"/>
    <s v="Mobile Wallet"/>
    <x v="156"/>
    <x v="6"/>
    <n v="2"/>
    <n v="403"/>
    <n v="429"/>
  </r>
  <r>
    <s v="ORD-1252"/>
    <d v="2025-06-01T00:00:00"/>
    <x v="2"/>
    <s v="Cape Town"/>
    <x v="2"/>
    <x v="6"/>
    <n v="28"/>
    <n v="210"/>
    <n v="0"/>
    <s v="Lerato K."/>
    <s v="Retail"/>
    <s v="Mobile Wallet"/>
    <x v="159"/>
    <x v="6"/>
    <n v="2"/>
    <n v="130"/>
    <n v="2240"/>
  </r>
  <r>
    <s v="ORD-1253"/>
    <d v="2025-06-01T00:00:00"/>
    <x v="2"/>
    <s v="Cape Town"/>
    <x v="4"/>
    <x v="14"/>
    <n v="4"/>
    <n v="2300"/>
    <n v="0"/>
    <s v="Thabo M."/>
    <s v="Retail"/>
    <s v="Card"/>
    <x v="50"/>
    <x v="6"/>
    <n v="2"/>
    <n v="1426"/>
    <n v="3496"/>
  </r>
  <r>
    <s v="ORD-1254"/>
    <d v="2025-06-02T00:00:00"/>
    <x v="4"/>
    <s v="Johannesburg"/>
    <x v="1"/>
    <x v="11"/>
    <n v="4"/>
    <n v="3100"/>
    <n v="0.1"/>
    <s v="Sipho N."/>
    <s v="Retail"/>
    <s v="Mobile Wallet"/>
    <x v="160"/>
    <x v="6"/>
    <n v="2"/>
    <n v="1922"/>
    <n v="3472"/>
  </r>
  <r>
    <s v="ORD-1255"/>
    <d v="2025-06-02T00:00:00"/>
    <x v="3"/>
    <s v="Durban"/>
    <x v="4"/>
    <x v="8"/>
    <n v="2"/>
    <n v="3600"/>
    <n v="0"/>
    <s v="Thabo M."/>
    <s v="Retail"/>
    <s v="EFT"/>
    <x v="40"/>
    <x v="6"/>
    <n v="2"/>
    <n v="2232"/>
    <n v="2736"/>
  </r>
  <r>
    <s v="ORD-1256"/>
    <d v="2025-06-02T00:00:00"/>
    <x v="4"/>
    <s v="Pretoria"/>
    <x v="3"/>
    <x v="13"/>
    <n v="4"/>
    <n v="180"/>
    <n v="0.1"/>
    <s v="Ayesha D."/>
    <s v="Business"/>
    <s v="Card"/>
    <x v="161"/>
    <x v="6"/>
    <n v="2"/>
    <n v="112"/>
    <n v="200"/>
  </r>
  <r>
    <s v="ORD-1257"/>
    <d v="2025-06-03T00:00:00"/>
    <x v="3"/>
    <s v="Durban"/>
    <x v="1"/>
    <x v="11"/>
    <n v="1"/>
    <n v="3100"/>
    <n v="0"/>
    <s v="Thabo M."/>
    <s v="Business"/>
    <s v="Card"/>
    <x v="100"/>
    <x v="6"/>
    <n v="2"/>
    <n v="1922"/>
    <n v="1178"/>
  </r>
  <r>
    <s v="ORD-1258"/>
    <d v="2025-06-03T00:00:00"/>
    <x v="3"/>
    <s v="Durban"/>
    <x v="4"/>
    <x v="5"/>
    <n v="3"/>
    <n v="1900"/>
    <n v="0.15"/>
    <s v="Ayesha D."/>
    <s v="Business"/>
    <s v="EFT"/>
    <x v="31"/>
    <x v="6"/>
    <n v="2"/>
    <n v="1178"/>
    <n v="1311"/>
  </r>
  <r>
    <s v="ORD-1259"/>
    <d v="2025-06-03T00:00:00"/>
    <x v="4"/>
    <s v="Johannesburg"/>
    <x v="1"/>
    <x v="1"/>
    <n v="1"/>
    <n v="8200"/>
    <n v="0"/>
    <s v="Naledi P."/>
    <s v="Business"/>
    <s v="Cash"/>
    <x v="20"/>
    <x v="6"/>
    <n v="2"/>
    <n v="5084"/>
    <n v="3116"/>
  </r>
  <r>
    <s v="ORD-1260"/>
    <d v="2025-06-04T00:00:00"/>
    <x v="4"/>
    <s v="Sandton"/>
    <x v="1"/>
    <x v="12"/>
    <n v="3"/>
    <n v="5400"/>
    <n v="0.15"/>
    <s v="Thabo M."/>
    <s v="Business"/>
    <s v="Card"/>
    <x v="162"/>
    <x v="6"/>
    <n v="2"/>
    <n v="3348"/>
    <n v="3726"/>
  </r>
  <r>
    <s v="ORD-1261"/>
    <d v="2025-06-04T00:00:00"/>
    <x v="5"/>
    <s v="East London"/>
    <x v="4"/>
    <x v="14"/>
    <n v="1"/>
    <n v="2300"/>
    <n v="0"/>
    <s v="Ayesha D."/>
    <s v="Business"/>
    <s v="Card"/>
    <x v="28"/>
    <x v="6"/>
    <n v="2"/>
    <n v="1426"/>
    <n v="874"/>
  </r>
  <r>
    <s v="ORD-1262"/>
    <d v="2025-06-05T00:00:00"/>
    <x v="2"/>
    <s v="Stellenbosch"/>
    <x v="4"/>
    <x v="5"/>
    <n v="1"/>
    <n v="1900"/>
    <n v="0.05"/>
    <s v="Pieter V."/>
    <s v="Retail"/>
    <s v="EFT"/>
    <x v="19"/>
    <x v="6"/>
    <n v="2"/>
    <n v="1178"/>
    <n v="627"/>
  </r>
  <r>
    <s v="ORD-1263"/>
    <d v="2025-06-06T00:00:00"/>
    <x v="5"/>
    <s v="Gqeberha"/>
    <x v="1"/>
    <x v="11"/>
    <n v="2"/>
    <n v="3100"/>
    <n v="0.15"/>
    <s v="Pieter V."/>
    <s v="Retail"/>
    <s v="Card"/>
    <x v="51"/>
    <x v="6"/>
    <n v="2"/>
    <n v="1922"/>
    <n v="1426"/>
  </r>
  <r>
    <s v="ORD-1264"/>
    <d v="2025-06-07T00:00:00"/>
    <x v="4"/>
    <s v="Pretoria"/>
    <x v="1"/>
    <x v="10"/>
    <n v="4"/>
    <n v="1450"/>
    <n v="0"/>
    <s v="Lerato K."/>
    <s v="Business"/>
    <s v="Card"/>
    <x v="163"/>
    <x v="6"/>
    <n v="2"/>
    <n v="899"/>
    <n v="2204"/>
  </r>
  <r>
    <s v="ORD-1265"/>
    <d v="2025-06-09T00:00:00"/>
    <x v="5"/>
    <s v="East London"/>
    <x v="2"/>
    <x v="2"/>
    <n v="19"/>
    <n v="120"/>
    <n v="0"/>
    <s v="Lerato K."/>
    <s v="Retail"/>
    <s v="Cash"/>
    <x v="117"/>
    <x v="6"/>
    <n v="2"/>
    <n v="74"/>
    <n v="874"/>
  </r>
  <r>
    <s v="ORD-1266"/>
    <d v="2025-06-09T00:00:00"/>
    <x v="5"/>
    <s v="East London"/>
    <x v="1"/>
    <x v="11"/>
    <n v="1"/>
    <n v="3100"/>
    <n v="0.1"/>
    <s v="Ayesha D."/>
    <s v="Business"/>
    <s v="EFT"/>
    <x v="164"/>
    <x v="6"/>
    <n v="2"/>
    <n v="1922"/>
    <n v="868"/>
  </r>
  <r>
    <s v="ORD-1267"/>
    <d v="2025-06-10T00:00:00"/>
    <x v="5"/>
    <s v="Gqeberha"/>
    <x v="1"/>
    <x v="10"/>
    <n v="4"/>
    <n v="1450"/>
    <n v="0"/>
    <s v="Naledi P."/>
    <s v="Business"/>
    <s v="Cash"/>
    <x v="163"/>
    <x v="6"/>
    <n v="2"/>
    <n v="899"/>
    <n v="2204"/>
  </r>
  <r>
    <s v="ORD-1268"/>
    <d v="2025-06-10T00:00:00"/>
    <x v="4"/>
    <s v="Pretoria"/>
    <x v="4"/>
    <x v="14"/>
    <n v="1"/>
    <n v="2300"/>
    <n v="0"/>
    <s v="Lerato K."/>
    <s v="Retail"/>
    <s v="Cash"/>
    <x v="28"/>
    <x v="6"/>
    <n v="2"/>
    <n v="1426"/>
    <n v="874"/>
  </r>
  <r>
    <s v="ORD-1269"/>
    <d v="2025-06-10T00:00:00"/>
    <x v="3"/>
    <s v="Pietermaritzburg"/>
    <x v="3"/>
    <x v="3"/>
    <n v="3"/>
    <n v="650"/>
    <n v="0.1"/>
    <s v="Naledi P."/>
    <s v="Business"/>
    <s v="EFT"/>
    <x v="165"/>
    <x v="6"/>
    <n v="2"/>
    <n v="403"/>
    <n v="546"/>
  </r>
  <r>
    <s v="ORD-1270"/>
    <d v="2025-06-11T00:00:00"/>
    <x v="1"/>
    <s v="Bloemfontein"/>
    <x v="3"/>
    <x v="3"/>
    <n v="2"/>
    <n v="650"/>
    <n v="0"/>
    <s v="Naledi P."/>
    <s v="Retail"/>
    <s v="Cash"/>
    <x v="77"/>
    <x v="6"/>
    <n v="2"/>
    <n v="403"/>
    <n v="494"/>
  </r>
  <r>
    <s v="ORD-1271"/>
    <d v="2025-06-12T00:00:00"/>
    <x v="5"/>
    <s v="Gqeberha"/>
    <x v="2"/>
    <x v="6"/>
    <n v="26"/>
    <n v="210"/>
    <n v="0"/>
    <s v="Ayesha D."/>
    <s v="Retail"/>
    <s v="Cash"/>
    <x v="166"/>
    <x v="6"/>
    <n v="2"/>
    <n v="130"/>
    <n v="2080"/>
  </r>
  <r>
    <s v="ORD-1272"/>
    <d v="2025-06-13T00:00:00"/>
    <x v="4"/>
    <s v="Johannesburg"/>
    <x v="1"/>
    <x v="1"/>
    <n v="4"/>
    <n v="8200"/>
    <n v="0.05"/>
    <s v="Thabo M."/>
    <s v="Business"/>
    <s v="EFT"/>
    <x v="167"/>
    <x v="6"/>
    <n v="2"/>
    <n v="5084"/>
    <n v="10824"/>
  </r>
  <r>
    <s v="ORD-1273"/>
    <d v="2025-06-14T00:00:00"/>
    <x v="4"/>
    <s v="Johannesburg"/>
    <x v="3"/>
    <x v="3"/>
    <n v="2"/>
    <n v="650"/>
    <n v="0.1"/>
    <s v="Naledi P."/>
    <s v="Business"/>
    <s v="Cash"/>
    <x v="168"/>
    <x v="6"/>
    <n v="2"/>
    <n v="403"/>
    <n v="364"/>
  </r>
  <r>
    <s v="ORD-1274"/>
    <d v="2025-06-14T00:00:00"/>
    <x v="6"/>
    <s v="Polokwane"/>
    <x v="4"/>
    <x v="5"/>
    <n v="1"/>
    <n v="1900"/>
    <n v="0.1"/>
    <s v="Lerato K."/>
    <s v="Retail"/>
    <s v="Mobile Wallet"/>
    <x v="169"/>
    <x v="6"/>
    <n v="2"/>
    <n v="1178"/>
    <n v="532"/>
  </r>
  <r>
    <s v="ORD-1275"/>
    <d v="2025-06-15T00:00:00"/>
    <x v="2"/>
    <s v="Cape Town"/>
    <x v="1"/>
    <x v="1"/>
    <n v="4"/>
    <n v="8200"/>
    <n v="0.15"/>
    <s v="Lerato K."/>
    <s v="Retail"/>
    <s v="Cash"/>
    <x v="170"/>
    <x v="6"/>
    <n v="2"/>
    <n v="5084"/>
    <n v="7544"/>
  </r>
  <r>
    <s v="ORD-1276"/>
    <d v="2025-06-15T00:00:00"/>
    <x v="4"/>
    <s v="Pretoria"/>
    <x v="3"/>
    <x v="4"/>
    <n v="3"/>
    <n v="520"/>
    <n v="0"/>
    <s v="Naledi P."/>
    <s v="Retail"/>
    <s v="Card"/>
    <x v="4"/>
    <x v="6"/>
    <n v="2"/>
    <n v="322"/>
    <n v="594"/>
  </r>
  <r>
    <s v="ORD-1277"/>
    <d v="2025-06-15T00:00:00"/>
    <x v="4"/>
    <s v="Sandton"/>
    <x v="1"/>
    <x v="10"/>
    <n v="1"/>
    <n v="1450"/>
    <n v="0"/>
    <s v="Thabo M."/>
    <s v="Retail"/>
    <s v="Mobile Wallet"/>
    <x v="171"/>
    <x v="6"/>
    <n v="2"/>
    <n v="899"/>
    <n v="551"/>
  </r>
  <r>
    <s v="ORD-1278"/>
    <d v="2025-06-16T00:00:00"/>
    <x v="2"/>
    <s v="Stellenbosch"/>
    <x v="4"/>
    <x v="14"/>
    <n v="2"/>
    <n v="2300"/>
    <n v="0.05"/>
    <s v="Sipho N."/>
    <s v="Retail"/>
    <s v="Card"/>
    <x v="90"/>
    <x v="6"/>
    <n v="2"/>
    <n v="1426"/>
    <n v="1518"/>
  </r>
  <r>
    <s v="ORD-1279"/>
    <d v="2025-06-18T00:00:00"/>
    <x v="4"/>
    <s v="Sandton"/>
    <x v="1"/>
    <x v="1"/>
    <n v="3"/>
    <n v="8200"/>
    <n v="0.15"/>
    <s v="Ayesha D."/>
    <s v="Retail"/>
    <s v="EFT"/>
    <x v="172"/>
    <x v="6"/>
    <n v="2"/>
    <n v="5084"/>
    <n v="5658"/>
  </r>
  <r>
    <s v="ORD-1280"/>
    <d v="2025-06-18T00:00:00"/>
    <x v="5"/>
    <s v="Gqeberha"/>
    <x v="3"/>
    <x v="4"/>
    <n v="1"/>
    <n v="520"/>
    <n v="0.15"/>
    <s v="Lerato K."/>
    <s v="Business"/>
    <s v="Mobile Wallet"/>
    <x v="144"/>
    <x v="6"/>
    <n v="2"/>
    <n v="322"/>
    <n v="120"/>
  </r>
  <r>
    <s v="ORD-1281"/>
    <d v="2025-06-19T00:00:00"/>
    <x v="4"/>
    <s v="Pretoria"/>
    <x v="2"/>
    <x v="2"/>
    <n v="21"/>
    <n v="120"/>
    <n v="0"/>
    <s v="Thabo M."/>
    <s v="Business"/>
    <s v="Mobile Wallet"/>
    <x v="173"/>
    <x v="6"/>
    <n v="2"/>
    <n v="74"/>
    <n v="966"/>
  </r>
  <r>
    <s v="ORD-1282"/>
    <d v="2025-06-19T00:00:00"/>
    <x v="3"/>
    <s v="Durban"/>
    <x v="2"/>
    <x v="2"/>
    <n v="11"/>
    <n v="120"/>
    <n v="0.05"/>
    <s v="Thabo M."/>
    <s v="Business"/>
    <s v="EFT"/>
    <x v="174"/>
    <x v="6"/>
    <n v="2"/>
    <n v="74"/>
    <n v="440"/>
  </r>
  <r>
    <s v="ORD-1283"/>
    <d v="2025-06-20T00:00:00"/>
    <x v="4"/>
    <s v="Johannesburg"/>
    <x v="1"/>
    <x v="1"/>
    <n v="2"/>
    <n v="8200"/>
    <n v="0"/>
    <s v="Naledi P."/>
    <s v="Retail"/>
    <s v="Card"/>
    <x v="126"/>
    <x v="6"/>
    <n v="2"/>
    <n v="5084"/>
    <n v="6232"/>
  </r>
  <r>
    <s v="ORD-1284"/>
    <d v="2025-06-20T00:00:00"/>
    <x v="2"/>
    <s v="Cape Town"/>
    <x v="2"/>
    <x v="9"/>
    <n v="6"/>
    <n v="85"/>
    <n v="0"/>
    <s v="Lerato K."/>
    <s v="Business"/>
    <s v="Mobile Wallet"/>
    <x v="155"/>
    <x v="6"/>
    <n v="2"/>
    <n v="53"/>
    <n v="192"/>
  </r>
  <r>
    <s v="ORD-1285"/>
    <d v="2025-06-21T00:00:00"/>
    <x v="4"/>
    <s v="Pretoria"/>
    <x v="3"/>
    <x v="13"/>
    <n v="1"/>
    <n v="180"/>
    <n v="0"/>
    <s v="Naledi P."/>
    <s v="Retail"/>
    <s v="Mobile Wallet"/>
    <x v="16"/>
    <x v="6"/>
    <n v="2"/>
    <n v="112"/>
    <n v="68"/>
  </r>
  <r>
    <s v="ORD-1286"/>
    <d v="2025-06-22T00:00:00"/>
    <x v="3"/>
    <s v="Pietermaritzburg"/>
    <x v="3"/>
    <x v="4"/>
    <n v="1"/>
    <n v="520"/>
    <n v="0.05"/>
    <s v="Ayesha D."/>
    <s v="Retail"/>
    <s v="Cash"/>
    <x v="92"/>
    <x v="6"/>
    <n v="2"/>
    <n v="322"/>
    <n v="172"/>
  </r>
  <r>
    <s v="ORD-1287"/>
    <d v="2025-06-22T00:00:00"/>
    <x v="1"/>
    <s v="Bloemfontein"/>
    <x v="1"/>
    <x v="10"/>
    <n v="3"/>
    <n v="1450"/>
    <n v="0.05"/>
    <s v="Lerato K."/>
    <s v="Retail"/>
    <s v="EFT"/>
    <x v="175"/>
    <x v="6"/>
    <n v="2"/>
    <n v="899"/>
    <n v="1435.5"/>
  </r>
  <r>
    <s v="ORD-1288"/>
    <d v="2025-06-23T00:00:00"/>
    <x v="4"/>
    <s v="Pretoria"/>
    <x v="2"/>
    <x v="6"/>
    <n v="40"/>
    <n v="210"/>
    <n v="0.05"/>
    <s v="Thabo M."/>
    <s v="Retail"/>
    <s v="Mobile Wallet"/>
    <x v="176"/>
    <x v="6"/>
    <n v="2"/>
    <n v="130"/>
    <n v="2780"/>
  </r>
  <r>
    <s v="ORD-1289"/>
    <d v="2025-06-23T00:00:00"/>
    <x v="2"/>
    <s v="Cape Town"/>
    <x v="1"/>
    <x v="12"/>
    <n v="1"/>
    <n v="5400"/>
    <n v="0.05"/>
    <s v="Ayesha D."/>
    <s v="Retail"/>
    <s v="Mobile Wallet"/>
    <x v="5"/>
    <x v="6"/>
    <n v="2"/>
    <n v="3348"/>
    <n v="1782"/>
  </r>
  <r>
    <s v="ORD-1290"/>
    <d v="2025-06-24T00:00:00"/>
    <x v="1"/>
    <s v="Bloemfontein"/>
    <x v="4"/>
    <x v="14"/>
    <n v="4"/>
    <n v="2300"/>
    <n v="0"/>
    <s v="Lerato K."/>
    <s v="Retail"/>
    <s v="EFT"/>
    <x v="50"/>
    <x v="6"/>
    <n v="2"/>
    <n v="1426"/>
    <n v="3496"/>
  </r>
  <r>
    <s v="ORD-1291"/>
    <d v="2025-06-24T00:00:00"/>
    <x v="1"/>
    <s v="Bloemfontein"/>
    <x v="1"/>
    <x v="7"/>
    <n v="1"/>
    <n v="12500"/>
    <n v="0.05"/>
    <s v="Pieter V."/>
    <s v="Retail"/>
    <s v="EFT"/>
    <x v="127"/>
    <x v="6"/>
    <n v="2"/>
    <n v="7750"/>
    <n v="4125"/>
  </r>
  <r>
    <s v="ORD-1292"/>
    <d v="2025-06-24T00:00:00"/>
    <x v="4"/>
    <s v="Sandton"/>
    <x v="1"/>
    <x v="12"/>
    <n v="2"/>
    <n v="5400"/>
    <n v="0"/>
    <s v="Pieter V."/>
    <s v="Business"/>
    <s v="Card"/>
    <x v="177"/>
    <x v="6"/>
    <n v="2"/>
    <n v="3348"/>
    <n v="4104"/>
  </r>
  <r>
    <s v="ORD-1293"/>
    <d v="2025-06-24T00:00:00"/>
    <x v="6"/>
    <s v="Polokwane"/>
    <x v="3"/>
    <x v="13"/>
    <n v="4"/>
    <n v="180"/>
    <n v="0"/>
    <s v="Lerato K."/>
    <s v="Retail"/>
    <s v="Cash"/>
    <x v="74"/>
    <x v="6"/>
    <n v="2"/>
    <n v="112"/>
    <n v="272"/>
  </r>
  <r>
    <s v="ORD-1294"/>
    <d v="2025-06-24T00:00:00"/>
    <x v="3"/>
    <s v="Pietermaritzburg"/>
    <x v="3"/>
    <x v="13"/>
    <n v="1"/>
    <n v="180"/>
    <n v="0.15"/>
    <s v="Ayesha D."/>
    <s v="Retail"/>
    <s v="EFT"/>
    <x v="178"/>
    <x v="6"/>
    <n v="2"/>
    <n v="112"/>
    <n v="41"/>
  </r>
  <r>
    <s v="ORD-1295"/>
    <d v="2025-06-26T00:00:00"/>
    <x v="6"/>
    <s v="Polokwane"/>
    <x v="2"/>
    <x v="9"/>
    <n v="39"/>
    <n v="85"/>
    <n v="0"/>
    <s v="Lerato K."/>
    <s v="Retail"/>
    <s v="Card"/>
    <x v="141"/>
    <x v="6"/>
    <n v="2"/>
    <n v="53"/>
    <n v="1248"/>
  </r>
  <r>
    <s v="ORD-1296"/>
    <d v="2025-06-26T00:00:00"/>
    <x v="4"/>
    <s v="Johannesburg"/>
    <x v="1"/>
    <x v="7"/>
    <n v="1"/>
    <n v="12500"/>
    <n v="0.1"/>
    <s v="Naledi P."/>
    <s v="Retail"/>
    <s v="EFT"/>
    <x v="179"/>
    <x v="6"/>
    <n v="2"/>
    <n v="7750"/>
    <n v="3500"/>
  </r>
  <r>
    <s v="ORD-1297"/>
    <d v="2025-06-27T00:00:00"/>
    <x v="4"/>
    <s v="Sandton"/>
    <x v="3"/>
    <x v="13"/>
    <n v="2"/>
    <n v="180"/>
    <n v="0"/>
    <s v="Thabo M."/>
    <s v="Retail"/>
    <s v="EFT"/>
    <x v="180"/>
    <x v="6"/>
    <n v="2"/>
    <n v="112"/>
    <n v="136"/>
  </r>
  <r>
    <s v="ORD-1298"/>
    <d v="2025-06-28T00:00:00"/>
    <x v="4"/>
    <s v="Sandton"/>
    <x v="3"/>
    <x v="13"/>
    <n v="3"/>
    <n v="180"/>
    <n v="0"/>
    <s v="Sipho N."/>
    <s v="Business"/>
    <s v="Mobile Wallet"/>
    <x v="181"/>
    <x v="6"/>
    <n v="2"/>
    <n v="112"/>
    <n v="204"/>
  </r>
  <r>
    <s v="ORD-1299"/>
    <d v="2025-06-29T00:00:00"/>
    <x v="4"/>
    <s v="Pretoria"/>
    <x v="2"/>
    <x v="9"/>
    <n v="25"/>
    <n v="85"/>
    <n v="0"/>
    <s v="Lerato K."/>
    <s v="Business"/>
    <s v="Mobile Wallet"/>
    <x v="182"/>
    <x v="6"/>
    <n v="2"/>
    <n v="53"/>
    <n v="800"/>
  </r>
  <r>
    <s v="ORD-1300"/>
    <d v="2025-06-30T00:00:00"/>
    <x v="3"/>
    <s v="Pietermaritzburg"/>
    <x v="3"/>
    <x v="13"/>
    <n v="3"/>
    <n v="180"/>
    <n v="0"/>
    <s v="Ayesha D."/>
    <s v="Business"/>
    <s v="Cash"/>
    <x v="181"/>
    <x v="6"/>
    <n v="2"/>
    <n v="112"/>
    <n v="204"/>
  </r>
  <r>
    <s v="ORD-1301"/>
    <d v="2025-07-01T00:00:00"/>
    <x v="3"/>
    <s v="Durban"/>
    <x v="1"/>
    <x v="10"/>
    <n v="4"/>
    <n v="1450"/>
    <n v="0"/>
    <s v="Ayesha D."/>
    <s v="Business"/>
    <s v="EFT"/>
    <x v="163"/>
    <x v="7"/>
    <n v="3"/>
    <n v="899"/>
    <n v="2204"/>
  </r>
  <r>
    <s v="ORD-1302"/>
    <d v="2025-07-01T00:00:00"/>
    <x v="3"/>
    <s v="Pietermaritzburg"/>
    <x v="1"/>
    <x v="12"/>
    <n v="1"/>
    <n v="5400"/>
    <n v="0"/>
    <s v="Pieter V."/>
    <s v="Retail"/>
    <s v="EFT"/>
    <x v="24"/>
    <x v="7"/>
    <n v="3"/>
    <n v="3348"/>
    <n v="2052"/>
  </r>
  <r>
    <s v="ORD-1303"/>
    <d v="2025-07-01T00:00:00"/>
    <x v="2"/>
    <s v="Stellenbosch"/>
    <x v="2"/>
    <x v="6"/>
    <n v="14"/>
    <n v="210"/>
    <n v="0"/>
    <s v="Ayesha D."/>
    <s v="Retail"/>
    <s v="Cash"/>
    <x v="183"/>
    <x v="7"/>
    <n v="3"/>
    <n v="130"/>
    <n v="1120"/>
  </r>
  <r>
    <s v="ORD-1304"/>
    <d v="2025-07-05T00:00:00"/>
    <x v="4"/>
    <s v="Johannesburg"/>
    <x v="4"/>
    <x v="14"/>
    <n v="3"/>
    <n v="2300"/>
    <n v="0.05"/>
    <s v="Thabo M."/>
    <s v="Retail"/>
    <s v="EFT"/>
    <x v="84"/>
    <x v="7"/>
    <n v="3"/>
    <n v="1426"/>
    <n v="2277"/>
  </r>
  <r>
    <s v="ORD-1305"/>
    <d v="2025-07-05T00:00:00"/>
    <x v="4"/>
    <s v="Pretoria"/>
    <x v="3"/>
    <x v="3"/>
    <n v="1"/>
    <n v="650"/>
    <n v="0.15"/>
    <s v="Thabo M."/>
    <s v="Retail"/>
    <s v="Mobile Wallet"/>
    <x v="30"/>
    <x v="7"/>
    <n v="3"/>
    <n v="403"/>
    <n v="149.5"/>
  </r>
  <r>
    <s v="ORD-1306"/>
    <d v="2025-07-05T00:00:00"/>
    <x v="2"/>
    <s v="Cape Town"/>
    <x v="3"/>
    <x v="3"/>
    <n v="4"/>
    <n v="650"/>
    <n v="0.05"/>
    <s v="Naledi P."/>
    <s v="Retail"/>
    <s v="Mobile Wallet"/>
    <x v="83"/>
    <x v="7"/>
    <n v="3"/>
    <n v="403"/>
    <n v="858"/>
  </r>
  <r>
    <s v="ORD-1307"/>
    <d v="2025-07-06T00:00:00"/>
    <x v="5"/>
    <s v="Gqeberha"/>
    <x v="1"/>
    <x v="1"/>
    <n v="2"/>
    <n v="8200"/>
    <n v="0.05"/>
    <s v="Thabo M."/>
    <s v="Business"/>
    <s v="Card"/>
    <x v="39"/>
    <x v="7"/>
    <n v="3"/>
    <n v="5084"/>
    <n v="5412"/>
  </r>
  <r>
    <s v="ORD-1308"/>
    <d v="2025-07-06T00:00:00"/>
    <x v="4"/>
    <s v="Pretoria"/>
    <x v="1"/>
    <x v="11"/>
    <n v="1"/>
    <n v="3100"/>
    <n v="0"/>
    <s v="Sipho N."/>
    <s v="Retail"/>
    <s v="Mobile Wallet"/>
    <x v="100"/>
    <x v="7"/>
    <n v="3"/>
    <n v="1922"/>
    <n v="1178"/>
  </r>
  <r>
    <s v="ORD-1309"/>
    <d v="2025-07-09T00:00:00"/>
    <x v="3"/>
    <s v="Durban"/>
    <x v="1"/>
    <x v="12"/>
    <n v="3"/>
    <n v="5400"/>
    <n v="0.1"/>
    <s v="Pieter V."/>
    <s v="Business"/>
    <s v="Card"/>
    <x v="184"/>
    <x v="7"/>
    <n v="3"/>
    <n v="3348"/>
    <n v="4536"/>
  </r>
  <r>
    <s v="ORD-1310"/>
    <d v="2025-07-09T00:00:00"/>
    <x v="6"/>
    <s v="Polokwane"/>
    <x v="4"/>
    <x v="8"/>
    <n v="4"/>
    <n v="3600"/>
    <n v="0"/>
    <s v="Thabo M."/>
    <s v="Retail"/>
    <s v="EFT"/>
    <x v="65"/>
    <x v="7"/>
    <n v="3"/>
    <n v="2232"/>
    <n v="5472"/>
  </r>
  <r>
    <s v="ORD-1311"/>
    <d v="2025-07-11T00:00:00"/>
    <x v="2"/>
    <s v="Stellenbosch"/>
    <x v="1"/>
    <x v="10"/>
    <n v="3"/>
    <n v="1450"/>
    <n v="0"/>
    <s v="Lerato K."/>
    <s v="Retail"/>
    <s v="Mobile Wallet"/>
    <x v="154"/>
    <x v="7"/>
    <n v="3"/>
    <n v="899"/>
    <n v="1653"/>
  </r>
  <r>
    <s v="ORD-1312"/>
    <d v="2025-07-11T00:00:00"/>
    <x v="2"/>
    <s v="Stellenbosch"/>
    <x v="2"/>
    <x v="9"/>
    <n v="14"/>
    <n v="85"/>
    <n v="0"/>
    <s v="Sipho N."/>
    <s v="Retail"/>
    <s v="Card"/>
    <x v="63"/>
    <x v="7"/>
    <n v="3"/>
    <n v="53"/>
    <n v="448"/>
  </r>
  <r>
    <s v="ORD-1313"/>
    <d v="2025-07-12T00:00:00"/>
    <x v="5"/>
    <s v="East London"/>
    <x v="1"/>
    <x v="11"/>
    <n v="2"/>
    <n v="3100"/>
    <n v="0"/>
    <s v="Thabo M."/>
    <s v="Retail"/>
    <s v="Cash"/>
    <x v="49"/>
    <x v="7"/>
    <n v="3"/>
    <n v="1922"/>
    <n v="2356"/>
  </r>
  <r>
    <s v="ORD-1314"/>
    <d v="2025-07-13T00:00:00"/>
    <x v="2"/>
    <s v="Cape Town"/>
    <x v="1"/>
    <x v="1"/>
    <n v="3"/>
    <n v="8200"/>
    <n v="0.05"/>
    <s v="Naledi P."/>
    <s v="Retail"/>
    <s v="Cash"/>
    <x v="185"/>
    <x v="7"/>
    <n v="3"/>
    <n v="5084"/>
    <n v="8118"/>
  </r>
  <r>
    <s v="ORD-1315"/>
    <d v="2025-07-14T00:00:00"/>
    <x v="3"/>
    <s v="Pietermaritzburg"/>
    <x v="1"/>
    <x v="1"/>
    <n v="2"/>
    <n v="8200"/>
    <n v="0"/>
    <s v="Naledi P."/>
    <s v="Retail"/>
    <s v="Mobile Wallet"/>
    <x v="126"/>
    <x v="7"/>
    <n v="3"/>
    <n v="5084"/>
    <n v="6232"/>
  </r>
  <r>
    <s v="ORD-1316"/>
    <d v="2025-07-14T00:00:00"/>
    <x v="4"/>
    <s v="Pretoria"/>
    <x v="1"/>
    <x v="7"/>
    <n v="3"/>
    <n v="12500"/>
    <n v="0"/>
    <s v="Sipho N."/>
    <s v="Retail"/>
    <s v="EFT"/>
    <x v="69"/>
    <x v="7"/>
    <n v="3"/>
    <n v="7750"/>
    <n v="14250"/>
  </r>
  <r>
    <s v="ORD-1317"/>
    <d v="2025-07-14T00:00:00"/>
    <x v="3"/>
    <s v="Durban"/>
    <x v="3"/>
    <x v="13"/>
    <n v="1"/>
    <n v="180"/>
    <n v="0.15"/>
    <s v="Sipho N."/>
    <s v="Business"/>
    <s v="Mobile Wallet"/>
    <x v="178"/>
    <x v="7"/>
    <n v="3"/>
    <n v="112"/>
    <n v="41"/>
  </r>
  <r>
    <s v="ORD-1318"/>
    <d v="2025-07-14T00:00:00"/>
    <x v="2"/>
    <s v="Cape Town"/>
    <x v="3"/>
    <x v="13"/>
    <n v="4"/>
    <n v="180"/>
    <n v="0.1"/>
    <s v="Naledi P."/>
    <s v="Business"/>
    <s v="Mobile Wallet"/>
    <x v="161"/>
    <x v="7"/>
    <n v="3"/>
    <n v="112"/>
    <n v="200"/>
  </r>
  <r>
    <s v="ORD-1319"/>
    <d v="2025-07-14T00:00:00"/>
    <x v="1"/>
    <s v="Bloemfontein"/>
    <x v="2"/>
    <x v="9"/>
    <n v="24"/>
    <n v="85"/>
    <n v="0"/>
    <s v="Naledi P."/>
    <s v="Business"/>
    <s v="Card"/>
    <x v="47"/>
    <x v="7"/>
    <n v="3"/>
    <n v="53"/>
    <n v="768"/>
  </r>
  <r>
    <s v="ORD-1320"/>
    <d v="2025-07-14T00:00:00"/>
    <x v="2"/>
    <s v="Cape Town"/>
    <x v="2"/>
    <x v="2"/>
    <n v="12"/>
    <n v="120"/>
    <n v="0.05"/>
    <s v="Lerato K."/>
    <s v="Business"/>
    <s v="EFT"/>
    <x v="186"/>
    <x v="7"/>
    <n v="3"/>
    <n v="74"/>
    <n v="480"/>
  </r>
  <r>
    <s v="ORD-1321"/>
    <d v="2025-07-15T00:00:00"/>
    <x v="5"/>
    <s v="Gqeberha"/>
    <x v="1"/>
    <x v="10"/>
    <n v="1"/>
    <n v="1450"/>
    <n v="0.05"/>
    <s v="Thabo M."/>
    <s v="Business"/>
    <s v="Mobile Wallet"/>
    <x v="121"/>
    <x v="7"/>
    <n v="3"/>
    <n v="899"/>
    <n v="478.5"/>
  </r>
  <r>
    <s v="ORD-1322"/>
    <d v="2025-07-15T00:00:00"/>
    <x v="6"/>
    <s v="Polokwane"/>
    <x v="1"/>
    <x v="10"/>
    <n v="3"/>
    <n v="1450"/>
    <n v="0"/>
    <s v="Ayesha D."/>
    <s v="Business"/>
    <s v="Card"/>
    <x v="154"/>
    <x v="7"/>
    <n v="3"/>
    <n v="899"/>
    <n v="1653"/>
  </r>
  <r>
    <s v="ORD-1323"/>
    <d v="2025-07-15T00:00:00"/>
    <x v="2"/>
    <s v="Stellenbosch"/>
    <x v="1"/>
    <x v="1"/>
    <n v="3"/>
    <n v="8200"/>
    <n v="0"/>
    <s v="Pieter V."/>
    <s v="Retail"/>
    <s v="Card"/>
    <x v="187"/>
    <x v="7"/>
    <n v="3"/>
    <n v="5084"/>
    <n v="9348"/>
  </r>
  <r>
    <s v="ORD-1324"/>
    <d v="2025-07-16T00:00:00"/>
    <x v="3"/>
    <s v="Pietermaritzburg"/>
    <x v="3"/>
    <x v="13"/>
    <n v="1"/>
    <n v="180"/>
    <n v="0.05"/>
    <s v="Lerato K."/>
    <s v="Retail"/>
    <s v="Card"/>
    <x v="71"/>
    <x v="7"/>
    <n v="3"/>
    <n v="112"/>
    <n v="59"/>
  </r>
  <r>
    <s v="ORD-1325"/>
    <d v="2025-07-17T00:00:00"/>
    <x v="2"/>
    <s v="Cape Town"/>
    <x v="1"/>
    <x v="1"/>
    <n v="3"/>
    <n v="8200"/>
    <n v="0.1"/>
    <s v="Sipho N."/>
    <s v="Business"/>
    <s v="Cash"/>
    <x v="188"/>
    <x v="7"/>
    <n v="3"/>
    <n v="5084"/>
    <n v="6888"/>
  </r>
  <r>
    <s v="ORD-1326"/>
    <d v="2025-07-19T00:00:00"/>
    <x v="3"/>
    <s v="Pietermaritzburg"/>
    <x v="4"/>
    <x v="8"/>
    <n v="1"/>
    <n v="3600"/>
    <n v="0"/>
    <s v="Sipho N."/>
    <s v="Retail"/>
    <s v="Mobile Wallet"/>
    <x v="35"/>
    <x v="7"/>
    <n v="3"/>
    <n v="2232"/>
    <n v="1368"/>
  </r>
  <r>
    <s v="ORD-1327"/>
    <d v="2025-07-21T00:00:00"/>
    <x v="2"/>
    <s v="Stellenbosch"/>
    <x v="1"/>
    <x v="7"/>
    <n v="2"/>
    <n v="12500"/>
    <n v="0"/>
    <s v="Ayesha D."/>
    <s v="Retail"/>
    <s v="Cash"/>
    <x v="189"/>
    <x v="7"/>
    <n v="3"/>
    <n v="7750"/>
    <n v="9500"/>
  </r>
  <r>
    <s v="ORD-1328"/>
    <d v="2025-07-22T00:00:00"/>
    <x v="4"/>
    <s v="Pretoria"/>
    <x v="4"/>
    <x v="14"/>
    <n v="3"/>
    <n v="2300"/>
    <n v="0"/>
    <s v="Naledi P."/>
    <s v="Business"/>
    <s v="Card"/>
    <x v="132"/>
    <x v="7"/>
    <n v="3"/>
    <n v="1426"/>
    <n v="2622"/>
  </r>
  <r>
    <s v="ORD-1329"/>
    <d v="2025-07-22T00:00:00"/>
    <x v="4"/>
    <s v="Pretoria"/>
    <x v="3"/>
    <x v="4"/>
    <n v="4"/>
    <n v="520"/>
    <n v="0"/>
    <s v="Sipho N."/>
    <s v="Business"/>
    <s v="Card"/>
    <x v="57"/>
    <x v="7"/>
    <n v="3"/>
    <n v="322"/>
    <n v="792"/>
  </r>
  <r>
    <s v="ORD-1330"/>
    <d v="2025-07-23T00:00:00"/>
    <x v="2"/>
    <s v="Stellenbosch"/>
    <x v="1"/>
    <x v="10"/>
    <n v="4"/>
    <n v="1450"/>
    <n v="0.1"/>
    <s v="Sipho N."/>
    <s v="Business"/>
    <s v="EFT"/>
    <x v="190"/>
    <x v="7"/>
    <n v="3"/>
    <n v="899"/>
    <n v="1624"/>
  </r>
  <r>
    <s v="ORD-1331"/>
    <d v="2025-07-24T00:00:00"/>
    <x v="4"/>
    <s v="Sandton"/>
    <x v="1"/>
    <x v="1"/>
    <n v="4"/>
    <n v="8200"/>
    <n v="0"/>
    <s v="Pieter V."/>
    <s v="Business"/>
    <s v="Card"/>
    <x v="1"/>
    <x v="7"/>
    <n v="3"/>
    <n v="5084"/>
    <n v="12464"/>
  </r>
  <r>
    <s v="ORD-1332"/>
    <d v="2025-07-25T00:00:00"/>
    <x v="4"/>
    <s v="Johannesburg"/>
    <x v="1"/>
    <x v="12"/>
    <n v="1"/>
    <n v="5400"/>
    <n v="0"/>
    <s v="Thabo M."/>
    <s v="Retail"/>
    <s v="Cash"/>
    <x v="24"/>
    <x v="7"/>
    <n v="3"/>
    <n v="3348"/>
    <n v="2052"/>
  </r>
  <r>
    <s v="ORD-1333"/>
    <d v="2025-07-25T00:00:00"/>
    <x v="4"/>
    <s v="Pretoria"/>
    <x v="3"/>
    <x v="3"/>
    <n v="4"/>
    <n v="650"/>
    <n v="0.1"/>
    <s v="Naledi P."/>
    <s v="Retail"/>
    <s v="Card"/>
    <x v="61"/>
    <x v="7"/>
    <n v="3"/>
    <n v="403"/>
    <n v="728"/>
  </r>
  <r>
    <s v="ORD-1334"/>
    <d v="2025-07-25T00:00:00"/>
    <x v="4"/>
    <s v="Pretoria"/>
    <x v="2"/>
    <x v="6"/>
    <n v="36"/>
    <n v="210"/>
    <n v="0.1"/>
    <s v="Naledi P."/>
    <s v="Retail"/>
    <s v="Mobile Wallet"/>
    <x v="191"/>
    <x v="7"/>
    <n v="3"/>
    <n v="130"/>
    <n v="2124"/>
  </r>
  <r>
    <s v="ORD-1335"/>
    <d v="2025-07-26T00:00:00"/>
    <x v="2"/>
    <s v="Stellenbosch"/>
    <x v="2"/>
    <x v="9"/>
    <n v="15"/>
    <n v="85"/>
    <n v="0"/>
    <s v="Ayesha D."/>
    <s v="Business"/>
    <s v="Card"/>
    <x v="192"/>
    <x v="7"/>
    <n v="3"/>
    <n v="53"/>
    <n v="480"/>
  </r>
  <r>
    <s v="ORD-1336"/>
    <d v="2025-07-27T00:00:00"/>
    <x v="4"/>
    <s v="Johannesburg"/>
    <x v="1"/>
    <x v="11"/>
    <n v="2"/>
    <n v="3100"/>
    <n v="0.1"/>
    <s v="Lerato K."/>
    <s v="Business"/>
    <s v="EFT"/>
    <x v="145"/>
    <x v="7"/>
    <n v="3"/>
    <n v="1922"/>
    <n v="1736"/>
  </r>
  <r>
    <s v="ORD-1337"/>
    <d v="2025-07-28T00:00:00"/>
    <x v="4"/>
    <s v="Sandton"/>
    <x v="2"/>
    <x v="6"/>
    <n v="31"/>
    <n v="210"/>
    <n v="0.1"/>
    <s v="Thabo M."/>
    <s v="Business"/>
    <s v="Card"/>
    <x v="81"/>
    <x v="7"/>
    <n v="3"/>
    <n v="130"/>
    <n v="1829"/>
  </r>
  <r>
    <s v="ORD-1338"/>
    <d v="2025-07-28T00:00:00"/>
    <x v="1"/>
    <s v="Bloemfontein"/>
    <x v="4"/>
    <x v="5"/>
    <n v="1"/>
    <n v="1900"/>
    <n v="0"/>
    <s v="Sipho N."/>
    <s v="Retail"/>
    <s v="Cash"/>
    <x v="193"/>
    <x v="7"/>
    <n v="3"/>
    <n v="1178"/>
    <n v="722"/>
  </r>
  <r>
    <s v="ORD-1339"/>
    <d v="2025-07-28T00:00:00"/>
    <x v="6"/>
    <s v="Polokwane"/>
    <x v="3"/>
    <x v="3"/>
    <n v="4"/>
    <n v="650"/>
    <n v="0.05"/>
    <s v="Sipho N."/>
    <s v="Retail"/>
    <s v="EFT"/>
    <x v="83"/>
    <x v="7"/>
    <n v="3"/>
    <n v="403"/>
    <n v="858"/>
  </r>
  <r>
    <s v="ORD-1340"/>
    <d v="2025-07-29T00:00:00"/>
    <x v="4"/>
    <s v="Sandton"/>
    <x v="4"/>
    <x v="5"/>
    <n v="4"/>
    <n v="1900"/>
    <n v="0.1"/>
    <s v="Thabo M."/>
    <s v="Retail"/>
    <s v="Cash"/>
    <x v="9"/>
    <x v="7"/>
    <n v="3"/>
    <n v="1178"/>
    <n v="2128"/>
  </r>
  <r>
    <s v="ORD-1341"/>
    <d v="2025-07-30T00:00:00"/>
    <x v="3"/>
    <s v="Pietermaritzburg"/>
    <x v="2"/>
    <x v="2"/>
    <n v="24"/>
    <n v="120"/>
    <n v="0.15"/>
    <s v="Thabo M."/>
    <s v="Retail"/>
    <s v="Cash"/>
    <x v="194"/>
    <x v="7"/>
    <n v="3"/>
    <n v="74"/>
    <n v="672"/>
  </r>
  <r>
    <s v="ORD-1342"/>
    <d v="2025-07-30T00:00:00"/>
    <x v="3"/>
    <s v="Pietermaritzburg"/>
    <x v="1"/>
    <x v="11"/>
    <n v="3"/>
    <n v="3100"/>
    <n v="0.15"/>
    <s v="Ayesha D."/>
    <s v="Business"/>
    <s v="Cash"/>
    <x v="195"/>
    <x v="7"/>
    <n v="3"/>
    <n v="1922"/>
    <n v="2139"/>
  </r>
  <r>
    <s v="ORD-1343"/>
    <d v="2025-08-01T00:00:00"/>
    <x v="4"/>
    <s v="Johannesburg"/>
    <x v="1"/>
    <x v="10"/>
    <n v="1"/>
    <n v="1450"/>
    <n v="0.1"/>
    <s v="Naledi P."/>
    <s v="Business"/>
    <s v="EFT"/>
    <x v="64"/>
    <x v="8"/>
    <n v="3"/>
    <n v="899"/>
    <n v="406"/>
  </r>
  <r>
    <s v="ORD-1344"/>
    <d v="2025-08-01T00:00:00"/>
    <x v="4"/>
    <s v="Pretoria"/>
    <x v="3"/>
    <x v="3"/>
    <n v="3"/>
    <n v="650"/>
    <n v="0"/>
    <s v="Naledi P."/>
    <s v="Retail"/>
    <s v="Card"/>
    <x v="149"/>
    <x v="8"/>
    <n v="3"/>
    <n v="403"/>
    <n v="741"/>
  </r>
  <r>
    <s v="ORD-1345"/>
    <d v="2025-08-02T00:00:00"/>
    <x v="3"/>
    <s v="Durban"/>
    <x v="2"/>
    <x v="9"/>
    <n v="26"/>
    <n v="85"/>
    <n v="0.15"/>
    <s v="Ayesha D."/>
    <s v="Retail"/>
    <s v="Mobile Wallet"/>
    <x v="196"/>
    <x v="8"/>
    <n v="3"/>
    <n v="53"/>
    <n v="500.5"/>
  </r>
  <r>
    <s v="ORD-1346"/>
    <d v="2025-08-03T00:00:00"/>
    <x v="4"/>
    <s v="Pretoria"/>
    <x v="2"/>
    <x v="6"/>
    <n v="15"/>
    <n v="210"/>
    <n v="0.15"/>
    <s v="Pieter V."/>
    <s v="Retail"/>
    <s v="Card"/>
    <x v="197"/>
    <x v="8"/>
    <n v="3"/>
    <n v="130"/>
    <n v="727.5"/>
  </r>
  <r>
    <s v="ORD-1347"/>
    <d v="2025-08-03T00:00:00"/>
    <x v="4"/>
    <s v="Pretoria"/>
    <x v="4"/>
    <x v="5"/>
    <n v="2"/>
    <n v="1900"/>
    <n v="0.15"/>
    <s v="Sipho N."/>
    <s v="Business"/>
    <s v="EFT"/>
    <x v="128"/>
    <x v="8"/>
    <n v="3"/>
    <n v="1178"/>
    <n v="874"/>
  </r>
  <r>
    <s v="ORD-1348"/>
    <d v="2025-08-04T00:00:00"/>
    <x v="4"/>
    <s v="Pretoria"/>
    <x v="4"/>
    <x v="14"/>
    <n v="4"/>
    <n v="2300"/>
    <n v="0"/>
    <s v="Sipho N."/>
    <s v="Retail"/>
    <s v="Cash"/>
    <x v="50"/>
    <x v="8"/>
    <n v="3"/>
    <n v="1426"/>
    <n v="3496"/>
  </r>
  <r>
    <s v="ORD-1349"/>
    <d v="2025-08-04T00:00:00"/>
    <x v="5"/>
    <s v="East London"/>
    <x v="4"/>
    <x v="5"/>
    <n v="1"/>
    <n v="1900"/>
    <n v="0.15"/>
    <s v="Pieter V."/>
    <s v="Retail"/>
    <s v="Card"/>
    <x v="151"/>
    <x v="8"/>
    <n v="3"/>
    <n v="1178"/>
    <n v="437"/>
  </r>
  <r>
    <s v="ORD-1350"/>
    <d v="2025-08-04T00:00:00"/>
    <x v="1"/>
    <s v="Bloemfontein"/>
    <x v="4"/>
    <x v="5"/>
    <n v="4"/>
    <n v="1900"/>
    <n v="0.1"/>
    <s v="Sipho N."/>
    <s v="Retail"/>
    <s v="EFT"/>
    <x v="9"/>
    <x v="8"/>
    <n v="3"/>
    <n v="1178"/>
    <n v="2128"/>
  </r>
  <r>
    <s v="ORD-1351"/>
    <d v="2025-08-05T00:00:00"/>
    <x v="6"/>
    <s v="Polokwane"/>
    <x v="1"/>
    <x v="12"/>
    <n v="4"/>
    <n v="5400"/>
    <n v="0.1"/>
    <s v="Naledi P."/>
    <s v="Retail"/>
    <s v="EFT"/>
    <x v="43"/>
    <x v="8"/>
    <n v="3"/>
    <n v="3348"/>
    <n v="6048"/>
  </r>
  <r>
    <s v="ORD-1352"/>
    <d v="2025-08-05T00:00:00"/>
    <x v="4"/>
    <s v="Pretoria"/>
    <x v="3"/>
    <x v="13"/>
    <n v="2"/>
    <n v="180"/>
    <n v="0"/>
    <s v="Ayesha D."/>
    <s v="Retail"/>
    <s v="Mobile Wallet"/>
    <x v="180"/>
    <x v="8"/>
    <n v="3"/>
    <n v="112"/>
    <n v="136"/>
  </r>
  <r>
    <s v="ORD-1353"/>
    <d v="2025-08-05T00:00:00"/>
    <x v="4"/>
    <s v="Johannesburg"/>
    <x v="1"/>
    <x v="11"/>
    <n v="2"/>
    <n v="3100"/>
    <n v="0.05"/>
    <s v="Thabo M."/>
    <s v="Retail"/>
    <s v="Mobile Wallet"/>
    <x v="137"/>
    <x v="8"/>
    <n v="3"/>
    <n v="1922"/>
    <n v="2046"/>
  </r>
  <r>
    <s v="ORD-1354"/>
    <d v="2025-08-05T00:00:00"/>
    <x v="2"/>
    <s v="Stellenbosch"/>
    <x v="2"/>
    <x v="6"/>
    <n v="35"/>
    <n v="210"/>
    <n v="0.05"/>
    <s v="Thabo M."/>
    <s v="Retail"/>
    <s v="EFT"/>
    <x v="198"/>
    <x v="8"/>
    <n v="3"/>
    <n v="130"/>
    <n v="2432.5"/>
  </r>
  <r>
    <s v="ORD-1355"/>
    <d v="2025-08-06T00:00:00"/>
    <x v="4"/>
    <s v="Johannesburg"/>
    <x v="3"/>
    <x v="3"/>
    <n v="3"/>
    <n v="650"/>
    <n v="0.1"/>
    <s v="Lerato K."/>
    <s v="Retail"/>
    <s v="Card"/>
    <x v="165"/>
    <x v="8"/>
    <n v="3"/>
    <n v="403"/>
    <n v="546"/>
  </r>
  <r>
    <s v="ORD-1356"/>
    <d v="2025-08-06T00:00:00"/>
    <x v="3"/>
    <s v="Durban"/>
    <x v="2"/>
    <x v="6"/>
    <n v="27"/>
    <n v="210"/>
    <n v="0"/>
    <s v="Lerato K."/>
    <s v="Retail"/>
    <s v="Cash"/>
    <x v="150"/>
    <x v="8"/>
    <n v="3"/>
    <n v="130"/>
    <n v="2160"/>
  </r>
  <r>
    <s v="ORD-1357"/>
    <d v="2025-08-07T00:00:00"/>
    <x v="4"/>
    <s v="Johannesburg"/>
    <x v="1"/>
    <x v="12"/>
    <n v="3"/>
    <n v="5400"/>
    <n v="0"/>
    <s v="Naledi P."/>
    <s v="Business"/>
    <s v="Cash"/>
    <x v="36"/>
    <x v="8"/>
    <n v="3"/>
    <n v="3348"/>
    <n v="6156"/>
  </r>
  <r>
    <s v="ORD-1358"/>
    <d v="2025-08-08T00:00:00"/>
    <x v="1"/>
    <s v="Bloemfontein"/>
    <x v="4"/>
    <x v="8"/>
    <n v="3"/>
    <n v="3600"/>
    <n v="0.05"/>
    <s v="Sipho N."/>
    <s v="Business"/>
    <s v="EFT"/>
    <x v="23"/>
    <x v="8"/>
    <n v="3"/>
    <n v="2232"/>
    <n v="3564"/>
  </r>
  <r>
    <s v="ORD-1359"/>
    <d v="2025-08-11T00:00:00"/>
    <x v="2"/>
    <s v="Cape Town"/>
    <x v="3"/>
    <x v="13"/>
    <n v="2"/>
    <n v="180"/>
    <n v="0.15"/>
    <s v="Lerato K."/>
    <s v="Retail"/>
    <s v="Card"/>
    <x v="199"/>
    <x v="8"/>
    <n v="3"/>
    <n v="112"/>
    <n v="82"/>
  </r>
  <r>
    <s v="ORD-1360"/>
    <d v="2025-08-11T00:00:00"/>
    <x v="2"/>
    <s v="Cape Town"/>
    <x v="2"/>
    <x v="9"/>
    <n v="28"/>
    <n v="85"/>
    <n v="0.15"/>
    <s v="Ayesha D."/>
    <s v="Business"/>
    <s v="Mobile Wallet"/>
    <x v="200"/>
    <x v="8"/>
    <n v="3"/>
    <n v="53"/>
    <n v="539"/>
  </r>
  <r>
    <s v="ORD-1361"/>
    <d v="2025-08-11T00:00:00"/>
    <x v="4"/>
    <s v="Sandton"/>
    <x v="2"/>
    <x v="6"/>
    <n v="8"/>
    <n v="210"/>
    <n v="0.1"/>
    <s v="Thabo M."/>
    <s v="Business"/>
    <s v="Card"/>
    <x v="201"/>
    <x v="8"/>
    <n v="3"/>
    <n v="130"/>
    <n v="472"/>
  </r>
  <r>
    <s v="ORD-1362"/>
    <d v="2025-08-12T00:00:00"/>
    <x v="3"/>
    <s v="Pietermaritzburg"/>
    <x v="1"/>
    <x v="7"/>
    <n v="4"/>
    <n v="12500"/>
    <n v="0.05"/>
    <s v="Thabo M."/>
    <s v="Retail"/>
    <s v="Mobile Wallet"/>
    <x v="153"/>
    <x v="8"/>
    <n v="3"/>
    <n v="7750"/>
    <n v="16500"/>
  </r>
  <r>
    <s v="ORD-1363"/>
    <d v="2025-08-13T00:00:00"/>
    <x v="4"/>
    <s v="Sandton"/>
    <x v="3"/>
    <x v="3"/>
    <n v="1"/>
    <n v="650"/>
    <n v="0"/>
    <s v="Naledi P."/>
    <s v="Business"/>
    <s v="Cash"/>
    <x v="202"/>
    <x v="8"/>
    <n v="3"/>
    <n v="403"/>
    <n v="247"/>
  </r>
  <r>
    <s v="ORD-1364"/>
    <d v="2025-08-14T00:00:00"/>
    <x v="3"/>
    <s v="Durban"/>
    <x v="2"/>
    <x v="9"/>
    <n v="31"/>
    <n v="85"/>
    <n v="0"/>
    <s v="Pieter V."/>
    <s v="Business"/>
    <s v="Card"/>
    <x v="203"/>
    <x v="8"/>
    <n v="3"/>
    <n v="53"/>
    <n v="992"/>
  </r>
  <r>
    <s v="ORD-1365"/>
    <d v="2025-08-14T00:00:00"/>
    <x v="4"/>
    <s v="Johannesburg"/>
    <x v="1"/>
    <x v="11"/>
    <n v="4"/>
    <n v="3100"/>
    <n v="0"/>
    <s v="Pieter V."/>
    <s v="Retail"/>
    <s v="Cash"/>
    <x v="12"/>
    <x v="8"/>
    <n v="3"/>
    <n v="1922"/>
    <n v="4712"/>
  </r>
  <r>
    <s v="ORD-1366"/>
    <d v="2025-08-15T00:00:00"/>
    <x v="2"/>
    <s v="Cape Town"/>
    <x v="3"/>
    <x v="4"/>
    <n v="3"/>
    <n v="520"/>
    <n v="0.15"/>
    <s v="Naledi P."/>
    <s v="Retail"/>
    <s v="Card"/>
    <x v="204"/>
    <x v="8"/>
    <n v="3"/>
    <n v="322"/>
    <n v="360"/>
  </r>
  <r>
    <s v="ORD-1367"/>
    <d v="2025-08-15T00:00:00"/>
    <x v="2"/>
    <s v="Cape Town"/>
    <x v="2"/>
    <x v="2"/>
    <n v="35"/>
    <n v="120"/>
    <n v="0"/>
    <s v="Lerato K."/>
    <s v="Retail"/>
    <s v="Card"/>
    <x v="205"/>
    <x v="8"/>
    <n v="3"/>
    <n v="74"/>
    <n v="1610"/>
  </r>
  <r>
    <s v="ORD-1368"/>
    <d v="2025-08-15T00:00:00"/>
    <x v="5"/>
    <s v="East London"/>
    <x v="1"/>
    <x v="1"/>
    <n v="2"/>
    <n v="8200"/>
    <n v="0"/>
    <s v="Pieter V."/>
    <s v="Retail"/>
    <s v="Card"/>
    <x v="126"/>
    <x v="8"/>
    <n v="3"/>
    <n v="5084"/>
    <n v="6232"/>
  </r>
  <r>
    <s v="ORD-1369"/>
    <d v="2025-08-15T00:00:00"/>
    <x v="3"/>
    <s v="Pietermaritzburg"/>
    <x v="1"/>
    <x v="11"/>
    <n v="3"/>
    <n v="3100"/>
    <n v="0"/>
    <s v="Naledi P."/>
    <s v="Retail"/>
    <s v="EFT"/>
    <x v="38"/>
    <x v="8"/>
    <n v="3"/>
    <n v="1922"/>
    <n v="3534"/>
  </r>
  <r>
    <s v="ORD-1370"/>
    <d v="2025-08-15T00:00:00"/>
    <x v="4"/>
    <s v="Pretoria"/>
    <x v="3"/>
    <x v="4"/>
    <n v="3"/>
    <n v="520"/>
    <n v="0.15"/>
    <s v="Sipho N."/>
    <s v="Retail"/>
    <s v="Card"/>
    <x v="204"/>
    <x v="8"/>
    <n v="3"/>
    <n v="322"/>
    <n v="360"/>
  </r>
  <r>
    <s v="ORD-1371"/>
    <d v="2025-08-15T00:00:00"/>
    <x v="5"/>
    <s v="Gqeberha"/>
    <x v="1"/>
    <x v="1"/>
    <n v="1"/>
    <n v="8200"/>
    <n v="0"/>
    <s v="Ayesha D."/>
    <s v="Retail"/>
    <s v="Cash"/>
    <x v="20"/>
    <x v="8"/>
    <n v="3"/>
    <n v="5084"/>
    <n v="3116"/>
  </r>
  <r>
    <s v="ORD-1372"/>
    <d v="2025-08-17T00:00:00"/>
    <x v="1"/>
    <s v="Bloemfontein"/>
    <x v="4"/>
    <x v="14"/>
    <n v="1"/>
    <n v="2300"/>
    <n v="0"/>
    <s v="Sipho N."/>
    <s v="Retail"/>
    <s v="Mobile Wallet"/>
    <x v="28"/>
    <x v="8"/>
    <n v="3"/>
    <n v="1426"/>
    <n v="874"/>
  </r>
  <r>
    <s v="ORD-1373"/>
    <d v="2025-08-18T00:00:00"/>
    <x v="6"/>
    <s v="Polokwane"/>
    <x v="4"/>
    <x v="8"/>
    <n v="4"/>
    <n v="3600"/>
    <n v="0.15"/>
    <s v="Naledi P."/>
    <s v="Business"/>
    <s v="EFT"/>
    <x v="26"/>
    <x v="8"/>
    <n v="3"/>
    <n v="2232"/>
    <n v="3312"/>
  </r>
  <r>
    <s v="ORD-1374"/>
    <d v="2025-08-19T00:00:00"/>
    <x v="4"/>
    <s v="Sandton"/>
    <x v="1"/>
    <x v="1"/>
    <n v="1"/>
    <n v="8200"/>
    <n v="0"/>
    <s v="Thabo M."/>
    <s v="Retail"/>
    <s v="Mobile Wallet"/>
    <x v="20"/>
    <x v="8"/>
    <n v="3"/>
    <n v="5084"/>
    <n v="3116"/>
  </r>
  <r>
    <s v="ORD-1375"/>
    <d v="2025-08-21T00:00:00"/>
    <x v="2"/>
    <s v="Stellenbosch"/>
    <x v="3"/>
    <x v="13"/>
    <n v="2"/>
    <n v="180"/>
    <n v="0.1"/>
    <s v="Naledi P."/>
    <s v="Business"/>
    <s v="Card"/>
    <x v="206"/>
    <x v="8"/>
    <n v="3"/>
    <n v="112"/>
    <n v="100"/>
  </r>
  <r>
    <s v="ORD-1376"/>
    <d v="2025-08-21T00:00:00"/>
    <x v="3"/>
    <s v="Durban"/>
    <x v="3"/>
    <x v="4"/>
    <n v="4"/>
    <n v="520"/>
    <n v="0.05"/>
    <s v="Thabo M."/>
    <s v="Business"/>
    <s v="Mobile Wallet"/>
    <x v="22"/>
    <x v="8"/>
    <n v="3"/>
    <n v="322"/>
    <n v="688"/>
  </r>
  <r>
    <s v="ORD-1377"/>
    <d v="2025-08-21T00:00:00"/>
    <x v="4"/>
    <s v="Sandton"/>
    <x v="1"/>
    <x v="7"/>
    <n v="3"/>
    <n v="12500"/>
    <n v="0"/>
    <s v="Ayesha D."/>
    <s v="Business"/>
    <s v="EFT"/>
    <x v="69"/>
    <x v="8"/>
    <n v="3"/>
    <n v="7750"/>
    <n v="14250"/>
  </r>
  <r>
    <s v="ORD-1378"/>
    <d v="2025-08-21T00:00:00"/>
    <x v="1"/>
    <s v="Bloemfontein"/>
    <x v="2"/>
    <x v="6"/>
    <n v="32"/>
    <n v="210"/>
    <n v="0.15"/>
    <s v="Ayesha D."/>
    <s v="Retail"/>
    <s v="Cash"/>
    <x v="207"/>
    <x v="8"/>
    <n v="3"/>
    <n v="130"/>
    <n v="1552"/>
  </r>
  <r>
    <s v="ORD-1379"/>
    <d v="2025-08-22T00:00:00"/>
    <x v="3"/>
    <s v="Pietermaritzburg"/>
    <x v="2"/>
    <x v="6"/>
    <n v="14"/>
    <n v="210"/>
    <n v="0.1"/>
    <s v="Pieter V."/>
    <s v="Retail"/>
    <s v="EFT"/>
    <x v="208"/>
    <x v="8"/>
    <n v="3"/>
    <n v="130"/>
    <n v="826"/>
  </r>
  <r>
    <s v="ORD-1380"/>
    <d v="2025-08-22T00:00:00"/>
    <x v="5"/>
    <s v="East London"/>
    <x v="2"/>
    <x v="2"/>
    <n v="15"/>
    <n v="120"/>
    <n v="0"/>
    <s v="Naledi P."/>
    <s v="Retail"/>
    <s v="Cash"/>
    <x v="2"/>
    <x v="8"/>
    <n v="3"/>
    <n v="74"/>
    <n v="690"/>
  </r>
  <r>
    <s v="ORD-1381"/>
    <d v="2025-08-23T00:00:00"/>
    <x v="4"/>
    <s v="Johannesburg"/>
    <x v="1"/>
    <x v="11"/>
    <n v="4"/>
    <n v="3100"/>
    <n v="0.05"/>
    <s v="Lerato K."/>
    <s v="Retail"/>
    <s v="Mobile Wallet"/>
    <x v="99"/>
    <x v="8"/>
    <n v="3"/>
    <n v="1922"/>
    <n v="4092"/>
  </r>
  <r>
    <s v="ORD-1382"/>
    <d v="2025-08-24T00:00:00"/>
    <x v="2"/>
    <s v="Cape Town"/>
    <x v="3"/>
    <x v="13"/>
    <n v="4"/>
    <n v="180"/>
    <n v="0.05"/>
    <s v="Sipho N."/>
    <s v="Retail"/>
    <s v="Mobile Wallet"/>
    <x v="120"/>
    <x v="8"/>
    <n v="3"/>
    <n v="112"/>
    <n v="236"/>
  </r>
  <r>
    <s v="ORD-1383"/>
    <d v="2025-08-24T00:00:00"/>
    <x v="3"/>
    <s v="Durban"/>
    <x v="3"/>
    <x v="3"/>
    <n v="4"/>
    <n v="650"/>
    <n v="0.05"/>
    <s v="Thabo M."/>
    <s v="Retail"/>
    <s v="Card"/>
    <x v="83"/>
    <x v="8"/>
    <n v="3"/>
    <n v="403"/>
    <n v="858"/>
  </r>
  <r>
    <s v="ORD-1384"/>
    <d v="2025-08-24T00:00:00"/>
    <x v="4"/>
    <s v="Sandton"/>
    <x v="3"/>
    <x v="4"/>
    <n v="3"/>
    <n v="520"/>
    <n v="0.1"/>
    <s v="Pieter V."/>
    <s v="Retail"/>
    <s v="Mobile Wallet"/>
    <x v="53"/>
    <x v="8"/>
    <n v="3"/>
    <n v="322"/>
    <n v="438"/>
  </r>
  <r>
    <s v="ORD-1385"/>
    <d v="2025-08-25T00:00:00"/>
    <x v="4"/>
    <s v="Johannesburg"/>
    <x v="4"/>
    <x v="14"/>
    <n v="2"/>
    <n v="2300"/>
    <n v="0.05"/>
    <s v="Sipho N."/>
    <s v="Retail"/>
    <s v="Mobile Wallet"/>
    <x v="90"/>
    <x v="8"/>
    <n v="3"/>
    <n v="1426"/>
    <n v="1518"/>
  </r>
  <r>
    <s v="ORD-1386"/>
    <d v="2025-08-25T00:00:00"/>
    <x v="3"/>
    <s v="Pietermaritzburg"/>
    <x v="3"/>
    <x v="3"/>
    <n v="1"/>
    <n v="650"/>
    <n v="0"/>
    <s v="Ayesha D."/>
    <s v="Retail"/>
    <s v="Cash"/>
    <x v="202"/>
    <x v="8"/>
    <n v="3"/>
    <n v="403"/>
    <n v="247"/>
  </r>
  <r>
    <s v="ORD-1387"/>
    <d v="2025-08-26T00:00:00"/>
    <x v="5"/>
    <s v="East London"/>
    <x v="4"/>
    <x v="14"/>
    <n v="3"/>
    <n v="2300"/>
    <n v="0.15"/>
    <s v="Thabo M."/>
    <s v="Retail"/>
    <s v="EFT"/>
    <x v="209"/>
    <x v="8"/>
    <n v="3"/>
    <n v="1426"/>
    <n v="1587"/>
  </r>
  <r>
    <s v="ORD-1388"/>
    <d v="2025-08-26T00:00:00"/>
    <x v="4"/>
    <s v="Sandton"/>
    <x v="4"/>
    <x v="5"/>
    <n v="4"/>
    <n v="1900"/>
    <n v="0"/>
    <s v="Sipho N."/>
    <s v="Retail"/>
    <s v="EFT"/>
    <x v="56"/>
    <x v="8"/>
    <n v="3"/>
    <n v="1178"/>
    <n v="2888"/>
  </r>
  <r>
    <s v="ORD-1389"/>
    <d v="2025-08-27T00:00:00"/>
    <x v="6"/>
    <s v="Polokwane"/>
    <x v="1"/>
    <x v="1"/>
    <n v="2"/>
    <n v="8200"/>
    <n v="0.05"/>
    <s v="Lerato K."/>
    <s v="Business"/>
    <s v="Card"/>
    <x v="39"/>
    <x v="8"/>
    <n v="3"/>
    <n v="5084"/>
    <n v="5412"/>
  </r>
  <r>
    <s v="ORD-1390"/>
    <d v="2025-08-27T00:00:00"/>
    <x v="2"/>
    <s v="Cape Town"/>
    <x v="3"/>
    <x v="13"/>
    <n v="4"/>
    <n v="180"/>
    <n v="0.05"/>
    <s v="Ayesha D."/>
    <s v="Retail"/>
    <s v="EFT"/>
    <x v="120"/>
    <x v="8"/>
    <n v="3"/>
    <n v="112"/>
    <n v="236"/>
  </r>
  <r>
    <s v="ORD-1391"/>
    <d v="2025-08-28T00:00:00"/>
    <x v="4"/>
    <s v="Sandton"/>
    <x v="4"/>
    <x v="5"/>
    <n v="1"/>
    <n v="1900"/>
    <n v="0.1"/>
    <s v="Naledi P."/>
    <s v="Business"/>
    <s v="Mobile Wallet"/>
    <x v="169"/>
    <x v="8"/>
    <n v="3"/>
    <n v="1178"/>
    <n v="532"/>
  </r>
  <r>
    <s v="ORD-1392"/>
    <d v="2025-08-28T00:00:00"/>
    <x v="5"/>
    <s v="Gqeberha"/>
    <x v="2"/>
    <x v="2"/>
    <n v="16"/>
    <n v="120"/>
    <n v="0.15"/>
    <s v="Lerato K."/>
    <s v="Retail"/>
    <s v="Cash"/>
    <x v="210"/>
    <x v="8"/>
    <n v="3"/>
    <n v="74"/>
    <n v="448"/>
  </r>
  <r>
    <s v="ORD-1393"/>
    <d v="2025-08-28T00:00:00"/>
    <x v="1"/>
    <s v="Bloemfontein"/>
    <x v="2"/>
    <x v="2"/>
    <n v="20"/>
    <n v="120"/>
    <n v="0"/>
    <s v="Naledi P."/>
    <s v="Business"/>
    <s v="Cash"/>
    <x v="211"/>
    <x v="8"/>
    <n v="3"/>
    <n v="74"/>
    <n v="920"/>
  </r>
  <r>
    <s v="ORD-1394"/>
    <d v="2025-08-29T00:00:00"/>
    <x v="5"/>
    <s v="Gqeberha"/>
    <x v="4"/>
    <x v="5"/>
    <n v="4"/>
    <n v="1900"/>
    <n v="0.1"/>
    <s v="Ayesha D."/>
    <s v="Business"/>
    <s v="Cash"/>
    <x v="9"/>
    <x v="8"/>
    <n v="3"/>
    <n v="1178"/>
    <n v="2128"/>
  </r>
  <r>
    <s v="ORD-1395"/>
    <d v="2025-08-29T00:00:00"/>
    <x v="3"/>
    <s v="Pietermaritzburg"/>
    <x v="3"/>
    <x v="4"/>
    <n v="2"/>
    <n v="520"/>
    <n v="0"/>
    <s v="Lerato K."/>
    <s v="Retail"/>
    <s v="Cash"/>
    <x v="60"/>
    <x v="8"/>
    <n v="3"/>
    <n v="322"/>
    <n v="396"/>
  </r>
  <r>
    <s v="ORD-1396"/>
    <d v="2025-08-29T00:00:00"/>
    <x v="4"/>
    <s v="Sandton"/>
    <x v="2"/>
    <x v="6"/>
    <n v="13"/>
    <n v="210"/>
    <n v="0.15"/>
    <s v="Ayesha D."/>
    <s v="Business"/>
    <s v="EFT"/>
    <x v="212"/>
    <x v="8"/>
    <n v="3"/>
    <n v="130"/>
    <n v="630.5"/>
  </r>
  <r>
    <s v="ORD-1397"/>
    <d v="2025-08-31T00:00:00"/>
    <x v="2"/>
    <s v="Stellenbosch"/>
    <x v="2"/>
    <x v="2"/>
    <n v="12"/>
    <n v="120"/>
    <n v="0"/>
    <s v="Pieter V."/>
    <s v="Retail"/>
    <s v="Mobile Wallet"/>
    <x v="213"/>
    <x v="8"/>
    <n v="3"/>
    <n v="74"/>
    <n v="552"/>
  </r>
  <r>
    <s v="ORD-1398"/>
    <d v="2025-09-01T00:00:00"/>
    <x v="3"/>
    <s v="Pietermaritzburg"/>
    <x v="2"/>
    <x v="6"/>
    <n v="32"/>
    <n v="210"/>
    <n v="0"/>
    <s v="Pieter V."/>
    <s v="Retail"/>
    <s v="Mobile Wallet"/>
    <x v="214"/>
    <x v="9"/>
    <n v="3"/>
    <n v="130"/>
    <n v="2560"/>
  </r>
  <r>
    <s v="ORD-1399"/>
    <d v="2025-09-02T00:00:00"/>
    <x v="4"/>
    <s v="Johannesburg"/>
    <x v="1"/>
    <x v="12"/>
    <n v="2"/>
    <n v="5400"/>
    <n v="0"/>
    <s v="Lerato K."/>
    <s v="Business"/>
    <s v="Cash"/>
    <x v="177"/>
    <x v="9"/>
    <n v="3"/>
    <n v="3348"/>
    <n v="4104"/>
  </r>
  <r>
    <s v="ORD-1400"/>
    <d v="2025-09-05T00:00:00"/>
    <x v="5"/>
    <s v="East London"/>
    <x v="1"/>
    <x v="12"/>
    <n v="2"/>
    <n v="5400"/>
    <n v="0.1"/>
    <s v="Thabo M."/>
    <s v="Retail"/>
    <s v="Mobile Wallet"/>
    <x v="37"/>
    <x v="9"/>
    <n v="3"/>
    <n v="3348"/>
    <n v="3024"/>
  </r>
  <r>
    <s v="ORD-1401"/>
    <d v="2025-09-05T00:00:00"/>
    <x v="3"/>
    <s v="Durban"/>
    <x v="1"/>
    <x v="1"/>
    <n v="4"/>
    <n v="8200"/>
    <n v="0"/>
    <s v="Pieter V."/>
    <s v="Business"/>
    <s v="Cash"/>
    <x v="1"/>
    <x v="9"/>
    <n v="3"/>
    <n v="5084"/>
    <n v="12464"/>
  </r>
  <r>
    <s v="ORD-1402"/>
    <d v="2025-09-05T00:00:00"/>
    <x v="3"/>
    <s v="Pietermaritzburg"/>
    <x v="3"/>
    <x v="3"/>
    <n v="4"/>
    <n v="650"/>
    <n v="0.05"/>
    <s v="Ayesha D."/>
    <s v="Retail"/>
    <s v="Card"/>
    <x v="83"/>
    <x v="9"/>
    <n v="3"/>
    <n v="403"/>
    <n v="858"/>
  </r>
  <r>
    <s v="ORD-1403"/>
    <d v="2025-09-06T00:00:00"/>
    <x v="3"/>
    <s v="Durban"/>
    <x v="1"/>
    <x v="7"/>
    <n v="4"/>
    <n v="12500"/>
    <n v="0"/>
    <s v="Ayesha D."/>
    <s v="Business"/>
    <s v="Cash"/>
    <x v="62"/>
    <x v="9"/>
    <n v="3"/>
    <n v="7750"/>
    <n v="19000"/>
  </r>
  <r>
    <s v="ORD-1404"/>
    <d v="2025-09-06T00:00:00"/>
    <x v="2"/>
    <s v="Cape Town"/>
    <x v="3"/>
    <x v="13"/>
    <n v="2"/>
    <n v="180"/>
    <n v="0"/>
    <s v="Naledi P."/>
    <s v="Retail"/>
    <s v="Card"/>
    <x v="180"/>
    <x v="9"/>
    <n v="3"/>
    <n v="112"/>
    <n v="136"/>
  </r>
  <r>
    <s v="ORD-1405"/>
    <d v="2025-09-06T00:00:00"/>
    <x v="6"/>
    <s v="Polokwane"/>
    <x v="1"/>
    <x v="12"/>
    <n v="4"/>
    <n v="5400"/>
    <n v="0"/>
    <s v="Naledi P."/>
    <s v="Retail"/>
    <s v="Cash"/>
    <x v="87"/>
    <x v="9"/>
    <n v="3"/>
    <n v="3348"/>
    <n v="8208"/>
  </r>
  <r>
    <s v="ORD-1406"/>
    <d v="2025-09-07T00:00:00"/>
    <x v="4"/>
    <s v="Pretoria"/>
    <x v="1"/>
    <x v="12"/>
    <n v="1"/>
    <n v="5400"/>
    <n v="0"/>
    <s v="Naledi P."/>
    <s v="Business"/>
    <s v="EFT"/>
    <x v="24"/>
    <x v="9"/>
    <n v="3"/>
    <n v="3348"/>
    <n v="2052"/>
  </r>
  <r>
    <s v="ORD-1407"/>
    <d v="2025-09-07T00:00:00"/>
    <x v="4"/>
    <s v="Pretoria"/>
    <x v="1"/>
    <x v="7"/>
    <n v="1"/>
    <n v="12500"/>
    <n v="0.15"/>
    <s v="Pieter V."/>
    <s v="Business"/>
    <s v="Cash"/>
    <x v="32"/>
    <x v="9"/>
    <n v="3"/>
    <n v="7750"/>
    <n v="2875"/>
  </r>
  <r>
    <s v="ORD-1408"/>
    <d v="2025-09-08T00:00:00"/>
    <x v="5"/>
    <s v="East London"/>
    <x v="4"/>
    <x v="5"/>
    <n v="1"/>
    <n v="1900"/>
    <n v="0.15"/>
    <s v="Sipho N."/>
    <s v="Retail"/>
    <s v="EFT"/>
    <x v="151"/>
    <x v="9"/>
    <n v="3"/>
    <n v="1178"/>
    <n v="437"/>
  </r>
  <r>
    <s v="ORD-1409"/>
    <d v="2025-09-09T00:00:00"/>
    <x v="4"/>
    <s v="Sandton"/>
    <x v="2"/>
    <x v="2"/>
    <n v="15"/>
    <n v="120"/>
    <n v="0.05"/>
    <s v="Pieter V."/>
    <s v="Retail"/>
    <s v="Card"/>
    <x v="169"/>
    <x v="9"/>
    <n v="3"/>
    <n v="74"/>
    <n v="600"/>
  </r>
  <r>
    <s v="ORD-1410"/>
    <d v="2025-09-09T00:00:00"/>
    <x v="4"/>
    <s v="Johannesburg"/>
    <x v="4"/>
    <x v="14"/>
    <n v="3"/>
    <n v="2300"/>
    <n v="0"/>
    <s v="Sipho N."/>
    <s v="Retail"/>
    <s v="Mobile Wallet"/>
    <x v="132"/>
    <x v="9"/>
    <n v="3"/>
    <n v="1426"/>
    <n v="2622"/>
  </r>
  <r>
    <s v="ORD-1411"/>
    <d v="2025-09-09T00:00:00"/>
    <x v="5"/>
    <s v="Gqeberha"/>
    <x v="2"/>
    <x v="2"/>
    <n v="12"/>
    <n v="120"/>
    <n v="0.15"/>
    <s v="Sipho N."/>
    <s v="Retail"/>
    <s v="EFT"/>
    <x v="215"/>
    <x v="9"/>
    <n v="3"/>
    <n v="74"/>
    <n v="336"/>
  </r>
  <r>
    <s v="ORD-1412"/>
    <d v="2025-09-10T00:00:00"/>
    <x v="3"/>
    <s v="Pietermaritzburg"/>
    <x v="1"/>
    <x v="7"/>
    <n v="4"/>
    <n v="12500"/>
    <n v="0"/>
    <s v="Naledi P."/>
    <s v="Retail"/>
    <s v="Cash"/>
    <x v="62"/>
    <x v="9"/>
    <n v="3"/>
    <n v="7750"/>
    <n v="19000"/>
  </r>
  <r>
    <s v="ORD-1413"/>
    <d v="2025-09-11T00:00:00"/>
    <x v="1"/>
    <s v="Bloemfontein"/>
    <x v="1"/>
    <x v="7"/>
    <n v="4"/>
    <n v="12500"/>
    <n v="0.05"/>
    <s v="Thabo M."/>
    <s v="Retail"/>
    <s v="EFT"/>
    <x v="153"/>
    <x v="9"/>
    <n v="3"/>
    <n v="7750"/>
    <n v="16500"/>
  </r>
  <r>
    <s v="ORD-1414"/>
    <d v="2025-09-11T00:00:00"/>
    <x v="2"/>
    <s v="Cape Town"/>
    <x v="4"/>
    <x v="14"/>
    <n v="2"/>
    <n v="2300"/>
    <n v="0.1"/>
    <s v="Pieter V."/>
    <s v="Retail"/>
    <s v="Card"/>
    <x v="29"/>
    <x v="9"/>
    <n v="3"/>
    <n v="1426"/>
    <n v="1288"/>
  </r>
  <r>
    <s v="ORD-1415"/>
    <d v="2025-09-12T00:00:00"/>
    <x v="3"/>
    <s v="Durban"/>
    <x v="1"/>
    <x v="10"/>
    <n v="4"/>
    <n v="1450"/>
    <n v="0"/>
    <s v="Lerato K."/>
    <s v="Retail"/>
    <s v="Mobile Wallet"/>
    <x v="163"/>
    <x v="9"/>
    <n v="3"/>
    <n v="899"/>
    <n v="2204"/>
  </r>
  <r>
    <s v="ORD-1416"/>
    <d v="2025-09-13T00:00:00"/>
    <x v="5"/>
    <s v="Gqeberha"/>
    <x v="2"/>
    <x v="6"/>
    <n v="14"/>
    <n v="210"/>
    <n v="0"/>
    <s v="Naledi P."/>
    <s v="Business"/>
    <s v="Card"/>
    <x v="183"/>
    <x v="9"/>
    <n v="3"/>
    <n v="130"/>
    <n v="1120"/>
  </r>
  <r>
    <s v="ORD-1417"/>
    <d v="2025-09-13T00:00:00"/>
    <x v="4"/>
    <s v="Johannesburg"/>
    <x v="1"/>
    <x v="1"/>
    <n v="3"/>
    <n v="8200"/>
    <n v="0.1"/>
    <s v="Thabo M."/>
    <s v="Retail"/>
    <s v="EFT"/>
    <x v="188"/>
    <x v="9"/>
    <n v="3"/>
    <n v="5084"/>
    <n v="6888"/>
  </r>
  <r>
    <s v="ORD-1418"/>
    <d v="2025-09-16T00:00:00"/>
    <x v="2"/>
    <s v="Stellenbosch"/>
    <x v="1"/>
    <x v="11"/>
    <n v="4"/>
    <n v="3100"/>
    <n v="0.05"/>
    <s v="Sipho N."/>
    <s v="Retail"/>
    <s v="Card"/>
    <x v="99"/>
    <x v="9"/>
    <n v="3"/>
    <n v="1922"/>
    <n v="4092"/>
  </r>
  <r>
    <s v="ORD-1419"/>
    <d v="2025-09-16T00:00:00"/>
    <x v="4"/>
    <s v="Sandton"/>
    <x v="2"/>
    <x v="2"/>
    <n v="9"/>
    <n v="120"/>
    <n v="0.15"/>
    <s v="Pieter V."/>
    <s v="Retail"/>
    <s v="Card"/>
    <x v="216"/>
    <x v="9"/>
    <n v="3"/>
    <n v="74"/>
    <n v="252"/>
  </r>
  <r>
    <s v="ORD-1420"/>
    <d v="2025-09-17T00:00:00"/>
    <x v="1"/>
    <s v="Bloemfontein"/>
    <x v="4"/>
    <x v="14"/>
    <n v="3"/>
    <n v="2300"/>
    <n v="0.15"/>
    <s v="Sipho N."/>
    <s v="Retail"/>
    <s v="Cash"/>
    <x v="209"/>
    <x v="9"/>
    <n v="3"/>
    <n v="1426"/>
    <n v="1587"/>
  </r>
  <r>
    <s v="ORD-1421"/>
    <d v="2025-09-17T00:00:00"/>
    <x v="1"/>
    <s v="Bloemfontein"/>
    <x v="3"/>
    <x v="13"/>
    <n v="4"/>
    <n v="180"/>
    <n v="0.15"/>
    <s v="Thabo M."/>
    <s v="Retail"/>
    <s v="EFT"/>
    <x v="93"/>
    <x v="9"/>
    <n v="3"/>
    <n v="112"/>
    <n v="164"/>
  </r>
  <r>
    <s v="ORD-1422"/>
    <d v="2025-09-17T00:00:00"/>
    <x v="3"/>
    <s v="Pietermaritzburg"/>
    <x v="1"/>
    <x v="12"/>
    <n v="2"/>
    <n v="5400"/>
    <n v="0"/>
    <s v="Ayesha D."/>
    <s v="Business"/>
    <s v="Cash"/>
    <x v="177"/>
    <x v="9"/>
    <n v="3"/>
    <n v="3348"/>
    <n v="4104"/>
  </r>
  <r>
    <s v="ORD-1423"/>
    <d v="2025-09-18T00:00:00"/>
    <x v="2"/>
    <s v="Cape Town"/>
    <x v="1"/>
    <x v="7"/>
    <n v="1"/>
    <n v="12500"/>
    <n v="0"/>
    <s v="Thabo M."/>
    <s v="Retail"/>
    <s v="Mobile Wallet"/>
    <x v="8"/>
    <x v="9"/>
    <n v="3"/>
    <n v="7750"/>
    <n v="4750"/>
  </r>
  <r>
    <s v="ORD-1424"/>
    <d v="2025-09-18T00:00:00"/>
    <x v="2"/>
    <s v="Cape Town"/>
    <x v="2"/>
    <x v="2"/>
    <n v="24"/>
    <n v="120"/>
    <n v="0"/>
    <s v="Ayesha D."/>
    <s v="Business"/>
    <s v="Cash"/>
    <x v="217"/>
    <x v="9"/>
    <n v="3"/>
    <n v="74"/>
    <n v="1104"/>
  </r>
  <r>
    <s v="ORD-1425"/>
    <d v="2025-09-18T00:00:00"/>
    <x v="2"/>
    <s v="Cape Town"/>
    <x v="1"/>
    <x v="10"/>
    <n v="2"/>
    <n v="1450"/>
    <n v="0"/>
    <s v="Lerato K."/>
    <s v="Retail"/>
    <s v="Cash"/>
    <x v="218"/>
    <x v="9"/>
    <n v="3"/>
    <n v="899"/>
    <n v="1102"/>
  </r>
  <r>
    <s v="ORD-1426"/>
    <d v="2025-09-19T00:00:00"/>
    <x v="4"/>
    <s v="Sandton"/>
    <x v="1"/>
    <x v="10"/>
    <n v="1"/>
    <n v="1450"/>
    <n v="0.1"/>
    <s v="Naledi P."/>
    <s v="Retail"/>
    <s v="Card"/>
    <x v="64"/>
    <x v="9"/>
    <n v="3"/>
    <n v="899"/>
    <n v="406"/>
  </r>
  <r>
    <s v="ORD-1427"/>
    <d v="2025-09-19T00:00:00"/>
    <x v="3"/>
    <s v="Pietermaritzburg"/>
    <x v="1"/>
    <x v="11"/>
    <n v="1"/>
    <n v="3100"/>
    <n v="0"/>
    <s v="Ayesha D."/>
    <s v="Retail"/>
    <s v="Cash"/>
    <x v="100"/>
    <x v="9"/>
    <n v="3"/>
    <n v="1922"/>
    <n v="1178"/>
  </r>
  <r>
    <s v="ORD-1428"/>
    <d v="2025-09-22T00:00:00"/>
    <x v="4"/>
    <s v="Sandton"/>
    <x v="4"/>
    <x v="14"/>
    <n v="2"/>
    <n v="2300"/>
    <n v="0"/>
    <s v="Sipho N."/>
    <s v="Retail"/>
    <s v="EFT"/>
    <x v="27"/>
    <x v="9"/>
    <n v="3"/>
    <n v="1426"/>
    <n v="1748"/>
  </r>
  <r>
    <s v="ORD-1429"/>
    <d v="2025-09-22T00:00:00"/>
    <x v="2"/>
    <s v="Stellenbosch"/>
    <x v="4"/>
    <x v="14"/>
    <n v="3"/>
    <n v="2300"/>
    <n v="0.15"/>
    <s v="Pieter V."/>
    <s v="Retail"/>
    <s v="Cash"/>
    <x v="209"/>
    <x v="9"/>
    <n v="3"/>
    <n v="1426"/>
    <n v="1587"/>
  </r>
  <r>
    <s v="ORD-1430"/>
    <d v="2025-09-23T00:00:00"/>
    <x v="4"/>
    <s v="Pretoria"/>
    <x v="3"/>
    <x v="13"/>
    <n v="2"/>
    <n v="180"/>
    <n v="0"/>
    <s v="Sipho N."/>
    <s v="Retail"/>
    <s v="EFT"/>
    <x v="180"/>
    <x v="9"/>
    <n v="3"/>
    <n v="112"/>
    <n v="136"/>
  </r>
  <r>
    <s v="ORD-1431"/>
    <d v="2025-09-24T00:00:00"/>
    <x v="3"/>
    <s v="Pietermaritzburg"/>
    <x v="3"/>
    <x v="3"/>
    <n v="3"/>
    <n v="650"/>
    <n v="0"/>
    <s v="Lerato K."/>
    <s v="Business"/>
    <s v="Cash"/>
    <x v="149"/>
    <x v="9"/>
    <n v="3"/>
    <n v="403"/>
    <n v="741"/>
  </r>
  <r>
    <s v="ORD-1432"/>
    <d v="2025-09-25T00:00:00"/>
    <x v="2"/>
    <s v="Stellenbosch"/>
    <x v="4"/>
    <x v="5"/>
    <n v="3"/>
    <n v="1900"/>
    <n v="0.05"/>
    <s v="Pieter V."/>
    <s v="Retail"/>
    <s v="Card"/>
    <x v="18"/>
    <x v="9"/>
    <n v="3"/>
    <n v="1178"/>
    <n v="1881"/>
  </r>
  <r>
    <s v="ORD-1433"/>
    <d v="2025-09-26T00:00:00"/>
    <x v="4"/>
    <s v="Johannesburg"/>
    <x v="3"/>
    <x v="4"/>
    <n v="2"/>
    <n v="520"/>
    <n v="0"/>
    <s v="Ayesha D."/>
    <s v="Business"/>
    <s v="Card"/>
    <x v="60"/>
    <x v="9"/>
    <n v="3"/>
    <n v="322"/>
    <n v="396"/>
  </r>
  <r>
    <s v="ORD-1434"/>
    <d v="2025-09-28T00:00:00"/>
    <x v="4"/>
    <s v="Johannesburg"/>
    <x v="3"/>
    <x v="3"/>
    <n v="1"/>
    <n v="650"/>
    <n v="0.1"/>
    <s v="Pieter V."/>
    <s v="Retail"/>
    <s v="EFT"/>
    <x v="25"/>
    <x v="9"/>
    <n v="3"/>
    <n v="403"/>
    <n v="182"/>
  </r>
  <r>
    <s v="ORD-1435"/>
    <d v="2025-09-28T00:00:00"/>
    <x v="2"/>
    <s v="Stellenbosch"/>
    <x v="1"/>
    <x v="7"/>
    <n v="2"/>
    <n v="12500"/>
    <n v="0"/>
    <s v="Naledi P."/>
    <s v="Retail"/>
    <s v="Cash"/>
    <x v="189"/>
    <x v="9"/>
    <n v="3"/>
    <n v="7750"/>
    <n v="9500"/>
  </r>
  <r>
    <s v="ORD-1436"/>
    <d v="2025-09-29T00:00:00"/>
    <x v="2"/>
    <s v="Cape Town"/>
    <x v="1"/>
    <x v="12"/>
    <n v="4"/>
    <n v="5400"/>
    <n v="0"/>
    <s v="Pieter V."/>
    <s v="Retail"/>
    <s v="EFT"/>
    <x v="87"/>
    <x v="9"/>
    <n v="3"/>
    <n v="3348"/>
    <n v="8208"/>
  </r>
  <r>
    <s v="ORD-1437"/>
    <d v="2025-09-29T00:00:00"/>
    <x v="6"/>
    <s v="Polokwane"/>
    <x v="3"/>
    <x v="4"/>
    <n v="2"/>
    <n v="520"/>
    <n v="0.05"/>
    <s v="Lerato K."/>
    <s v="Retail"/>
    <s v="EFT"/>
    <x v="44"/>
    <x v="9"/>
    <n v="3"/>
    <n v="322"/>
    <n v="344"/>
  </r>
  <r>
    <s v="ORD-1438"/>
    <d v="2025-09-30T00:00:00"/>
    <x v="3"/>
    <s v="Pietermaritzburg"/>
    <x v="3"/>
    <x v="3"/>
    <n v="1"/>
    <n v="650"/>
    <n v="0"/>
    <s v="Naledi P."/>
    <s v="Retail"/>
    <s v="Cash"/>
    <x v="202"/>
    <x v="9"/>
    <n v="3"/>
    <n v="403"/>
    <n v="247"/>
  </r>
  <r>
    <s v="ORD-1439"/>
    <d v="2025-10-01T00:00:00"/>
    <x v="4"/>
    <s v="Sandton"/>
    <x v="4"/>
    <x v="14"/>
    <n v="2"/>
    <n v="2300"/>
    <n v="0.1"/>
    <s v="Sipho N."/>
    <s v="Retail"/>
    <s v="Mobile Wallet"/>
    <x v="29"/>
    <x v="10"/>
    <n v="4"/>
    <n v="1426"/>
    <n v="1288"/>
  </r>
  <r>
    <s v="ORD-1440"/>
    <d v="2025-10-01T00:00:00"/>
    <x v="4"/>
    <s v="Sandton"/>
    <x v="1"/>
    <x v="7"/>
    <n v="3"/>
    <n v="12500"/>
    <n v="0"/>
    <s v="Ayesha D."/>
    <s v="Business"/>
    <s v="Cash"/>
    <x v="69"/>
    <x v="10"/>
    <n v="4"/>
    <n v="7750"/>
    <n v="14250"/>
  </r>
  <r>
    <s v="ORD-1441"/>
    <d v="2025-10-01T00:00:00"/>
    <x v="3"/>
    <s v="Durban"/>
    <x v="3"/>
    <x v="4"/>
    <n v="4"/>
    <n v="520"/>
    <n v="0.15"/>
    <s v="Naledi P."/>
    <s v="Retail"/>
    <s v="Card"/>
    <x v="219"/>
    <x v="10"/>
    <n v="4"/>
    <n v="322"/>
    <n v="480"/>
  </r>
  <r>
    <s v="ORD-1442"/>
    <d v="2025-10-02T00:00:00"/>
    <x v="4"/>
    <s v="Johannesburg"/>
    <x v="2"/>
    <x v="2"/>
    <n v="38"/>
    <n v="120"/>
    <n v="0.05"/>
    <s v="Sipho N."/>
    <s v="Business"/>
    <s v="Cash"/>
    <x v="220"/>
    <x v="10"/>
    <n v="4"/>
    <n v="74"/>
    <n v="1520"/>
  </r>
  <r>
    <s v="ORD-1443"/>
    <d v="2025-10-02T00:00:00"/>
    <x v="5"/>
    <s v="Gqeberha"/>
    <x v="4"/>
    <x v="5"/>
    <n v="2"/>
    <n v="1900"/>
    <n v="0.05"/>
    <s v="Lerato K."/>
    <s v="Retail"/>
    <s v="Cash"/>
    <x v="221"/>
    <x v="10"/>
    <n v="4"/>
    <n v="1178"/>
    <n v="1254"/>
  </r>
  <r>
    <s v="ORD-1444"/>
    <d v="2025-10-02T00:00:00"/>
    <x v="4"/>
    <s v="Johannesburg"/>
    <x v="1"/>
    <x v="10"/>
    <n v="3"/>
    <n v="1450"/>
    <n v="0.1"/>
    <s v="Ayesha D."/>
    <s v="Business"/>
    <s v="EFT"/>
    <x v="11"/>
    <x v="10"/>
    <n v="4"/>
    <n v="899"/>
    <n v="1218"/>
  </r>
  <r>
    <s v="ORD-1445"/>
    <d v="2025-10-02T00:00:00"/>
    <x v="5"/>
    <s v="Gqeberha"/>
    <x v="4"/>
    <x v="8"/>
    <n v="4"/>
    <n v="3600"/>
    <n v="0.15"/>
    <s v="Naledi P."/>
    <s v="Retail"/>
    <s v="EFT"/>
    <x v="26"/>
    <x v="10"/>
    <n v="4"/>
    <n v="2232"/>
    <n v="3312"/>
  </r>
  <r>
    <s v="ORD-1446"/>
    <d v="2025-10-03T00:00:00"/>
    <x v="5"/>
    <s v="Gqeberha"/>
    <x v="2"/>
    <x v="6"/>
    <n v="20"/>
    <n v="210"/>
    <n v="0"/>
    <s v="Lerato K."/>
    <s v="Retail"/>
    <s v="EFT"/>
    <x v="205"/>
    <x v="10"/>
    <n v="4"/>
    <n v="130"/>
    <n v="1600"/>
  </r>
  <r>
    <s v="ORD-1447"/>
    <d v="2025-10-03T00:00:00"/>
    <x v="3"/>
    <s v="Durban"/>
    <x v="1"/>
    <x v="12"/>
    <n v="2"/>
    <n v="5400"/>
    <n v="0"/>
    <s v="Lerato K."/>
    <s v="Retail"/>
    <s v="EFT"/>
    <x v="177"/>
    <x v="10"/>
    <n v="4"/>
    <n v="3348"/>
    <n v="4104"/>
  </r>
  <r>
    <s v="ORD-1448"/>
    <d v="2025-10-04T00:00:00"/>
    <x v="6"/>
    <s v="Polokwane"/>
    <x v="2"/>
    <x v="2"/>
    <n v="23"/>
    <n v="120"/>
    <n v="0"/>
    <s v="Lerato K."/>
    <s v="Retail"/>
    <s v="Mobile Wallet"/>
    <x v="222"/>
    <x v="10"/>
    <n v="4"/>
    <n v="74"/>
    <n v="1058"/>
  </r>
  <r>
    <s v="ORD-1449"/>
    <d v="2025-10-04T00:00:00"/>
    <x v="2"/>
    <s v="Cape Town"/>
    <x v="3"/>
    <x v="4"/>
    <n v="4"/>
    <n v="520"/>
    <n v="0.1"/>
    <s v="Lerato K."/>
    <s v="Business"/>
    <s v="EFT"/>
    <x v="223"/>
    <x v="10"/>
    <n v="4"/>
    <n v="322"/>
    <n v="584"/>
  </r>
  <r>
    <s v="ORD-1450"/>
    <d v="2025-10-04T00:00:00"/>
    <x v="3"/>
    <s v="Pietermaritzburg"/>
    <x v="2"/>
    <x v="9"/>
    <n v="15"/>
    <n v="85"/>
    <n v="0.15"/>
    <s v="Ayesha D."/>
    <s v="Retail"/>
    <s v="Mobile Wallet"/>
    <x v="224"/>
    <x v="10"/>
    <n v="4"/>
    <n v="53"/>
    <n v="288.75"/>
  </r>
  <r>
    <s v="ORD-1451"/>
    <d v="2025-10-05T00:00:00"/>
    <x v="2"/>
    <s v="Cape Town"/>
    <x v="2"/>
    <x v="9"/>
    <n v="29"/>
    <n v="85"/>
    <n v="0.05"/>
    <s v="Lerato K."/>
    <s v="Retail"/>
    <s v="EFT"/>
    <x v="225"/>
    <x v="10"/>
    <n v="4"/>
    <n v="53"/>
    <n v="804.75"/>
  </r>
  <r>
    <s v="ORD-1452"/>
    <d v="2025-10-05T00:00:00"/>
    <x v="5"/>
    <s v="East London"/>
    <x v="2"/>
    <x v="2"/>
    <n v="14"/>
    <n v="120"/>
    <n v="0.1"/>
    <s v="Thabo M."/>
    <s v="Retail"/>
    <s v="Card"/>
    <x v="201"/>
    <x v="10"/>
    <n v="4"/>
    <n v="74"/>
    <n v="476"/>
  </r>
  <r>
    <s v="ORD-1453"/>
    <d v="2025-10-06T00:00:00"/>
    <x v="2"/>
    <s v="Cape Town"/>
    <x v="3"/>
    <x v="13"/>
    <n v="1"/>
    <n v="180"/>
    <n v="0.05"/>
    <s v="Ayesha D."/>
    <s v="Retail"/>
    <s v="Card"/>
    <x v="71"/>
    <x v="10"/>
    <n v="4"/>
    <n v="112"/>
    <n v="59"/>
  </r>
  <r>
    <s v="ORD-1454"/>
    <d v="2025-10-06T00:00:00"/>
    <x v="3"/>
    <s v="Pietermaritzburg"/>
    <x v="3"/>
    <x v="13"/>
    <n v="4"/>
    <n v="180"/>
    <n v="0"/>
    <s v="Thabo M."/>
    <s v="Business"/>
    <s v="Mobile Wallet"/>
    <x v="74"/>
    <x v="10"/>
    <n v="4"/>
    <n v="112"/>
    <n v="272"/>
  </r>
  <r>
    <s v="ORD-1455"/>
    <d v="2025-10-06T00:00:00"/>
    <x v="6"/>
    <s v="Polokwane"/>
    <x v="1"/>
    <x v="10"/>
    <n v="4"/>
    <n v="1450"/>
    <n v="0"/>
    <s v="Pieter V."/>
    <s v="Business"/>
    <s v="Card"/>
    <x v="163"/>
    <x v="10"/>
    <n v="4"/>
    <n v="899"/>
    <n v="2204"/>
  </r>
  <r>
    <s v="ORD-1456"/>
    <d v="2025-10-07T00:00:00"/>
    <x v="4"/>
    <s v="Pretoria"/>
    <x v="4"/>
    <x v="8"/>
    <n v="2"/>
    <n v="3600"/>
    <n v="0"/>
    <s v="Sipho N."/>
    <s v="Retail"/>
    <s v="Mobile Wallet"/>
    <x v="40"/>
    <x v="10"/>
    <n v="4"/>
    <n v="2232"/>
    <n v="2736"/>
  </r>
  <r>
    <s v="ORD-1457"/>
    <d v="2025-10-07T00:00:00"/>
    <x v="4"/>
    <s v="Sandton"/>
    <x v="1"/>
    <x v="11"/>
    <n v="1"/>
    <n v="3100"/>
    <n v="0.1"/>
    <s v="Pieter V."/>
    <s v="Retail"/>
    <s v="Card"/>
    <x v="164"/>
    <x v="10"/>
    <n v="4"/>
    <n v="1922"/>
    <n v="868"/>
  </r>
  <r>
    <s v="ORD-1458"/>
    <d v="2025-10-07T00:00:00"/>
    <x v="3"/>
    <s v="Pietermaritzburg"/>
    <x v="4"/>
    <x v="8"/>
    <n v="4"/>
    <n v="3600"/>
    <n v="0"/>
    <s v="Thabo M."/>
    <s v="Retail"/>
    <s v="Cash"/>
    <x v="65"/>
    <x v="10"/>
    <n v="4"/>
    <n v="2232"/>
    <n v="5472"/>
  </r>
  <r>
    <s v="ORD-1459"/>
    <d v="2025-10-07T00:00:00"/>
    <x v="5"/>
    <s v="East London"/>
    <x v="1"/>
    <x v="11"/>
    <n v="3"/>
    <n v="3100"/>
    <n v="0.1"/>
    <s v="Sipho N."/>
    <s v="Business"/>
    <s v="Mobile Wallet"/>
    <x v="129"/>
    <x v="10"/>
    <n v="4"/>
    <n v="1922"/>
    <n v="2604"/>
  </r>
  <r>
    <s v="ORD-1460"/>
    <d v="2025-10-08T00:00:00"/>
    <x v="4"/>
    <s v="Sandton"/>
    <x v="3"/>
    <x v="13"/>
    <n v="4"/>
    <n v="180"/>
    <n v="0"/>
    <s v="Sipho N."/>
    <s v="Retail"/>
    <s v="Mobile Wallet"/>
    <x v="74"/>
    <x v="10"/>
    <n v="4"/>
    <n v="112"/>
    <n v="272"/>
  </r>
  <r>
    <s v="ORD-1461"/>
    <d v="2025-10-09T00:00:00"/>
    <x v="6"/>
    <s v="Polokwane"/>
    <x v="1"/>
    <x v="11"/>
    <n v="4"/>
    <n v="3100"/>
    <n v="0.15"/>
    <s v="Lerato K."/>
    <s v="Business"/>
    <s v="Card"/>
    <x v="226"/>
    <x v="10"/>
    <n v="4"/>
    <n v="1922"/>
    <n v="2852"/>
  </r>
  <r>
    <s v="ORD-1462"/>
    <d v="2025-10-09T00:00:00"/>
    <x v="4"/>
    <s v="Sandton"/>
    <x v="3"/>
    <x v="3"/>
    <n v="2"/>
    <n v="650"/>
    <n v="0"/>
    <s v="Lerato K."/>
    <s v="Retail"/>
    <s v="Cash"/>
    <x v="77"/>
    <x v="10"/>
    <n v="4"/>
    <n v="403"/>
    <n v="494"/>
  </r>
  <r>
    <s v="ORD-1463"/>
    <d v="2025-10-09T00:00:00"/>
    <x v="2"/>
    <s v="Cape Town"/>
    <x v="3"/>
    <x v="13"/>
    <n v="2"/>
    <n v="180"/>
    <n v="0.05"/>
    <s v="Ayesha D."/>
    <s v="Retail"/>
    <s v="Card"/>
    <x v="227"/>
    <x v="10"/>
    <n v="4"/>
    <n v="112"/>
    <n v="118"/>
  </r>
  <r>
    <s v="ORD-1464"/>
    <d v="2025-10-09T00:00:00"/>
    <x v="4"/>
    <s v="Sandton"/>
    <x v="3"/>
    <x v="4"/>
    <n v="4"/>
    <n v="520"/>
    <n v="0"/>
    <s v="Thabo M."/>
    <s v="Retail"/>
    <s v="Cash"/>
    <x v="57"/>
    <x v="10"/>
    <n v="4"/>
    <n v="322"/>
    <n v="792"/>
  </r>
  <r>
    <s v="ORD-1465"/>
    <d v="2025-10-09T00:00:00"/>
    <x v="3"/>
    <s v="Pietermaritzburg"/>
    <x v="1"/>
    <x v="1"/>
    <n v="4"/>
    <n v="8200"/>
    <n v="0.1"/>
    <s v="Ayesha D."/>
    <s v="Retail"/>
    <s v="Card"/>
    <x v="34"/>
    <x v="10"/>
    <n v="4"/>
    <n v="5084"/>
    <n v="9184"/>
  </r>
  <r>
    <s v="ORD-1466"/>
    <d v="2025-10-10T00:00:00"/>
    <x v="5"/>
    <s v="East London"/>
    <x v="3"/>
    <x v="13"/>
    <n v="4"/>
    <n v="180"/>
    <n v="0"/>
    <s v="Lerato K."/>
    <s v="Business"/>
    <s v="Cash"/>
    <x v="74"/>
    <x v="10"/>
    <n v="4"/>
    <n v="112"/>
    <n v="272"/>
  </r>
  <r>
    <s v="ORD-1467"/>
    <d v="2025-10-10T00:00:00"/>
    <x v="4"/>
    <s v="Sandton"/>
    <x v="1"/>
    <x v="10"/>
    <n v="2"/>
    <n v="1450"/>
    <n v="0.1"/>
    <s v="Lerato K."/>
    <s v="Business"/>
    <s v="Cash"/>
    <x v="118"/>
    <x v="10"/>
    <n v="4"/>
    <n v="899"/>
    <n v="812"/>
  </r>
  <r>
    <s v="ORD-1468"/>
    <d v="2025-10-11T00:00:00"/>
    <x v="3"/>
    <s v="Durban"/>
    <x v="1"/>
    <x v="10"/>
    <n v="1"/>
    <n v="1450"/>
    <n v="0"/>
    <s v="Naledi P."/>
    <s v="Retail"/>
    <s v="Mobile Wallet"/>
    <x v="171"/>
    <x v="10"/>
    <n v="4"/>
    <n v="899"/>
    <n v="551"/>
  </r>
  <r>
    <s v="ORD-1469"/>
    <d v="2025-10-11T00:00:00"/>
    <x v="2"/>
    <s v="Cape Town"/>
    <x v="4"/>
    <x v="8"/>
    <n v="1"/>
    <n v="3600"/>
    <n v="0"/>
    <s v="Pieter V."/>
    <s v="Retail"/>
    <s v="Cash"/>
    <x v="35"/>
    <x v="10"/>
    <n v="4"/>
    <n v="2232"/>
    <n v="1368"/>
  </r>
  <r>
    <s v="ORD-1470"/>
    <d v="2025-10-11T00:00:00"/>
    <x v="6"/>
    <s v="Polokwane"/>
    <x v="4"/>
    <x v="14"/>
    <n v="2"/>
    <n v="2300"/>
    <n v="0.1"/>
    <s v="Lerato K."/>
    <s v="Retail"/>
    <s v="Mobile Wallet"/>
    <x v="29"/>
    <x v="10"/>
    <n v="4"/>
    <n v="1426"/>
    <n v="1288"/>
  </r>
  <r>
    <s v="ORD-1471"/>
    <d v="2025-10-11T00:00:00"/>
    <x v="4"/>
    <s v="Johannesburg"/>
    <x v="2"/>
    <x v="9"/>
    <n v="31"/>
    <n v="85"/>
    <n v="0.1"/>
    <s v="Thabo M."/>
    <s v="Retail"/>
    <s v="Cash"/>
    <x v="228"/>
    <x v="10"/>
    <n v="4"/>
    <n v="53"/>
    <n v="728.5"/>
  </r>
  <r>
    <s v="ORD-1472"/>
    <d v="2025-10-11T00:00:00"/>
    <x v="6"/>
    <s v="Polokwane"/>
    <x v="4"/>
    <x v="14"/>
    <n v="3"/>
    <n v="2300"/>
    <n v="0.15"/>
    <s v="Naledi P."/>
    <s v="Business"/>
    <s v="Mobile Wallet"/>
    <x v="209"/>
    <x v="10"/>
    <n v="4"/>
    <n v="1426"/>
    <n v="1587"/>
  </r>
  <r>
    <s v="ORD-1473"/>
    <d v="2025-10-12T00:00:00"/>
    <x v="4"/>
    <s v="Pretoria"/>
    <x v="3"/>
    <x v="13"/>
    <n v="4"/>
    <n v="180"/>
    <n v="0.15"/>
    <s v="Naledi P."/>
    <s v="Business"/>
    <s v="Card"/>
    <x v="93"/>
    <x v="10"/>
    <n v="4"/>
    <n v="112"/>
    <n v="164"/>
  </r>
  <r>
    <s v="ORD-1474"/>
    <d v="2025-10-13T00:00:00"/>
    <x v="4"/>
    <s v="Johannesburg"/>
    <x v="4"/>
    <x v="5"/>
    <n v="4"/>
    <n v="1900"/>
    <n v="0.15"/>
    <s v="Lerato K."/>
    <s v="Business"/>
    <s v="EFT"/>
    <x v="95"/>
    <x v="10"/>
    <n v="4"/>
    <n v="1178"/>
    <n v="1748"/>
  </r>
  <r>
    <s v="ORD-1475"/>
    <d v="2025-10-13T00:00:00"/>
    <x v="4"/>
    <s v="Pretoria"/>
    <x v="3"/>
    <x v="13"/>
    <n v="1"/>
    <n v="180"/>
    <n v="0.15"/>
    <s v="Sipho N."/>
    <s v="Retail"/>
    <s v="Card"/>
    <x v="178"/>
    <x v="10"/>
    <n v="4"/>
    <n v="112"/>
    <n v="41"/>
  </r>
  <r>
    <s v="ORD-1476"/>
    <d v="2025-10-14T00:00:00"/>
    <x v="3"/>
    <s v="Pietermaritzburg"/>
    <x v="4"/>
    <x v="8"/>
    <n v="1"/>
    <n v="3600"/>
    <n v="0.1"/>
    <s v="Lerato K."/>
    <s v="Retail"/>
    <s v="Cash"/>
    <x v="229"/>
    <x v="10"/>
    <n v="4"/>
    <n v="2232"/>
    <n v="1008"/>
  </r>
  <r>
    <s v="ORD-1477"/>
    <d v="2025-10-14T00:00:00"/>
    <x v="1"/>
    <s v="Bloemfontein"/>
    <x v="1"/>
    <x v="10"/>
    <n v="2"/>
    <n v="1450"/>
    <n v="0.15"/>
    <s v="Ayesha D."/>
    <s v="Business"/>
    <s v="EFT"/>
    <x v="136"/>
    <x v="10"/>
    <n v="4"/>
    <n v="899"/>
    <n v="667"/>
  </r>
  <r>
    <s v="ORD-1478"/>
    <d v="2025-10-15T00:00:00"/>
    <x v="3"/>
    <s v="Durban"/>
    <x v="4"/>
    <x v="5"/>
    <n v="2"/>
    <n v="1900"/>
    <n v="0"/>
    <s v="Lerato K."/>
    <s v="Retail"/>
    <s v="EFT"/>
    <x v="142"/>
    <x v="10"/>
    <n v="4"/>
    <n v="1178"/>
    <n v="1444"/>
  </r>
  <r>
    <s v="ORD-1479"/>
    <d v="2025-10-15T00:00:00"/>
    <x v="3"/>
    <s v="Durban"/>
    <x v="3"/>
    <x v="4"/>
    <n v="1"/>
    <n v="520"/>
    <n v="0"/>
    <s v="Thabo M."/>
    <s v="Business"/>
    <s v="Mobile Wallet"/>
    <x v="70"/>
    <x v="10"/>
    <n v="4"/>
    <n v="322"/>
    <n v="198"/>
  </r>
  <r>
    <s v="ORD-1480"/>
    <d v="2025-10-16T00:00:00"/>
    <x v="4"/>
    <s v="Sandton"/>
    <x v="2"/>
    <x v="9"/>
    <n v="7"/>
    <n v="85"/>
    <n v="0.05"/>
    <s v="Sipho N."/>
    <s v="Retail"/>
    <s v="Mobile Wallet"/>
    <x v="230"/>
    <x v="10"/>
    <n v="4"/>
    <n v="53"/>
    <n v="194.25"/>
  </r>
  <r>
    <s v="ORD-1481"/>
    <d v="2025-10-16T00:00:00"/>
    <x v="1"/>
    <s v="Bloemfontein"/>
    <x v="2"/>
    <x v="9"/>
    <n v="16"/>
    <n v="85"/>
    <n v="0.1"/>
    <s v="Sipho N."/>
    <s v="Retail"/>
    <s v="EFT"/>
    <x v="215"/>
    <x v="10"/>
    <n v="4"/>
    <n v="53"/>
    <n v="376"/>
  </r>
  <r>
    <s v="ORD-1482"/>
    <d v="2025-10-17T00:00:00"/>
    <x v="2"/>
    <s v="Stellenbosch"/>
    <x v="1"/>
    <x v="7"/>
    <n v="4"/>
    <n v="12500"/>
    <n v="0.1"/>
    <s v="Thabo M."/>
    <s v="Retail"/>
    <s v="Mobile Wallet"/>
    <x v="231"/>
    <x v="10"/>
    <n v="4"/>
    <n v="7750"/>
    <n v="14000"/>
  </r>
  <r>
    <s v="ORD-1483"/>
    <d v="2025-10-17T00:00:00"/>
    <x v="3"/>
    <s v="Durban"/>
    <x v="3"/>
    <x v="4"/>
    <n v="4"/>
    <n v="520"/>
    <n v="0"/>
    <s v="Ayesha D."/>
    <s v="Retail"/>
    <s v="Cash"/>
    <x v="57"/>
    <x v="10"/>
    <n v="4"/>
    <n v="322"/>
    <n v="792"/>
  </r>
  <r>
    <s v="ORD-1484"/>
    <d v="2025-10-17T00:00:00"/>
    <x v="4"/>
    <s v="Sandton"/>
    <x v="3"/>
    <x v="3"/>
    <n v="2"/>
    <n v="650"/>
    <n v="0.05"/>
    <s v="Pieter V."/>
    <s v="Retail"/>
    <s v="Cash"/>
    <x v="156"/>
    <x v="10"/>
    <n v="4"/>
    <n v="403"/>
    <n v="429"/>
  </r>
  <r>
    <s v="ORD-1485"/>
    <d v="2025-10-17T00:00:00"/>
    <x v="1"/>
    <s v="Bloemfontein"/>
    <x v="2"/>
    <x v="9"/>
    <n v="40"/>
    <n v="85"/>
    <n v="0"/>
    <s v="Lerato K."/>
    <s v="Retail"/>
    <s v="Cash"/>
    <x v="232"/>
    <x v="10"/>
    <n v="4"/>
    <n v="53"/>
    <n v="1280"/>
  </r>
  <r>
    <s v="ORD-1486"/>
    <d v="2025-10-18T00:00:00"/>
    <x v="4"/>
    <s v="Pretoria"/>
    <x v="4"/>
    <x v="14"/>
    <n v="2"/>
    <n v="2300"/>
    <n v="0.05"/>
    <s v="Ayesha D."/>
    <s v="Business"/>
    <s v="Cash"/>
    <x v="90"/>
    <x v="10"/>
    <n v="4"/>
    <n v="1426"/>
    <n v="1518"/>
  </r>
  <r>
    <s v="ORD-1487"/>
    <d v="2025-10-19T00:00:00"/>
    <x v="2"/>
    <s v="Stellenbosch"/>
    <x v="3"/>
    <x v="4"/>
    <n v="2"/>
    <n v="520"/>
    <n v="0.1"/>
    <s v="Lerato K."/>
    <s v="Business"/>
    <s v="EFT"/>
    <x v="96"/>
    <x v="10"/>
    <n v="4"/>
    <n v="322"/>
    <n v="292"/>
  </r>
  <r>
    <s v="ORD-1488"/>
    <d v="2025-10-19T00:00:00"/>
    <x v="4"/>
    <s v="Pretoria"/>
    <x v="3"/>
    <x v="4"/>
    <n v="2"/>
    <n v="520"/>
    <n v="0.1"/>
    <s v="Naledi P."/>
    <s v="Business"/>
    <s v="EFT"/>
    <x v="96"/>
    <x v="10"/>
    <n v="4"/>
    <n v="322"/>
    <n v="292"/>
  </r>
  <r>
    <s v="ORD-1489"/>
    <d v="2025-10-20T00:00:00"/>
    <x v="5"/>
    <s v="Gqeberha"/>
    <x v="1"/>
    <x v="12"/>
    <n v="4"/>
    <n v="5400"/>
    <n v="0"/>
    <s v="Lerato K."/>
    <s v="Retail"/>
    <s v="EFT"/>
    <x v="87"/>
    <x v="10"/>
    <n v="4"/>
    <n v="3348"/>
    <n v="8208"/>
  </r>
  <r>
    <s v="ORD-1490"/>
    <d v="2025-10-22T00:00:00"/>
    <x v="3"/>
    <s v="Pietermaritzburg"/>
    <x v="3"/>
    <x v="4"/>
    <n v="4"/>
    <n v="520"/>
    <n v="0"/>
    <s v="Sipho N."/>
    <s v="Retail"/>
    <s v="Card"/>
    <x v="57"/>
    <x v="10"/>
    <n v="4"/>
    <n v="322"/>
    <n v="792"/>
  </r>
  <r>
    <s v="ORD-1491"/>
    <d v="2025-10-22T00:00:00"/>
    <x v="4"/>
    <s v="Johannesburg"/>
    <x v="4"/>
    <x v="8"/>
    <n v="1"/>
    <n v="3600"/>
    <n v="0"/>
    <s v="Sipho N."/>
    <s v="Retail"/>
    <s v="Card"/>
    <x v="35"/>
    <x v="10"/>
    <n v="4"/>
    <n v="2232"/>
    <n v="1368"/>
  </r>
  <r>
    <s v="ORD-1492"/>
    <d v="2025-10-22T00:00:00"/>
    <x v="3"/>
    <s v="Pietermaritzburg"/>
    <x v="4"/>
    <x v="5"/>
    <n v="3"/>
    <n v="1900"/>
    <n v="0"/>
    <s v="Pieter V."/>
    <s v="Retail"/>
    <s v="Cash"/>
    <x v="33"/>
    <x v="10"/>
    <n v="4"/>
    <n v="1178"/>
    <n v="2166"/>
  </r>
  <r>
    <s v="ORD-1493"/>
    <d v="2025-10-22T00:00:00"/>
    <x v="4"/>
    <s v="Johannesburg"/>
    <x v="4"/>
    <x v="14"/>
    <n v="3"/>
    <n v="2300"/>
    <n v="0.15"/>
    <s v="Pieter V."/>
    <s v="Retail"/>
    <s v="EFT"/>
    <x v="209"/>
    <x v="10"/>
    <n v="4"/>
    <n v="1426"/>
    <n v="1587"/>
  </r>
  <r>
    <s v="ORD-1494"/>
    <d v="2025-10-23T00:00:00"/>
    <x v="4"/>
    <s v="Pretoria"/>
    <x v="3"/>
    <x v="13"/>
    <n v="4"/>
    <n v="180"/>
    <n v="0.15"/>
    <s v="Naledi P."/>
    <s v="Business"/>
    <s v="Mobile Wallet"/>
    <x v="93"/>
    <x v="10"/>
    <n v="4"/>
    <n v="112"/>
    <n v="164"/>
  </r>
  <r>
    <s v="ORD-1495"/>
    <d v="2025-10-24T00:00:00"/>
    <x v="4"/>
    <s v="Sandton"/>
    <x v="2"/>
    <x v="9"/>
    <n v="14"/>
    <n v="85"/>
    <n v="0"/>
    <s v="Ayesha D."/>
    <s v="Business"/>
    <s v="Cash"/>
    <x v="63"/>
    <x v="10"/>
    <n v="4"/>
    <n v="53"/>
    <n v="448"/>
  </r>
  <r>
    <s v="ORD-1496"/>
    <d v="2025-10-24T00:00:00"/>
    <x v="3"/>
    <s v="Pietermaritzburg"/>
    <x v="4"/>
    <x v="8"/>
    <n v="1"/>
    <n v="3600"/>
    <n v="0"/>
    <s v="Lerato K."/>
    <s v="Retail"/>
    <s v="Cash"/>
    <x v="35"/>
    <x v="10"/>
    <n v="4"/>
    <n v="2232"/>
    <n v="1368"/>
  </r>
  <r>
    <s v="ORD-1497"/>
    <d v="2025-10-25T00:00:00"/>
    <x v="3"/>
    <s v="Pietermaritzburg"/>
    <x v="4"/>
    <x v="14"/>
    <n v="4"/>
    <n v="2300"/>
    <n v="0"/>
    <s v="Naledi P."/>
    <s v="Business"/>
    <s v="Cash"/>
    <x v="50"/>
    <x v="10"/>
    <n v="4"/>
    <n v="1426"/>
    <n v="3496"/>
  </r>
  <r>
    <s v="ORD-1498"/>
    <d v="2025-10-26T00:00:00"/>
    <x v="2"/>
    <s v="Stellenbosch"/>
    <x v="3"/>
    <x v="3"/>
    <n v="4"/>
    <n v="650"/>
    <n v="0"/>
    <s v="Lerato K."/>
    <s v="Business"/>
    <s v="EFT"/>
    <x v="3"/>
    <x v="10"/>
    <n v="4"/>
    <n v="403"/>
    <n v="988"/>
  </r>
  <r>
    <s v="ORD-1499"/>
    <d v="2025-10-26T00:00:00"/>
    <x v="4"/>
    <s v="Pretoria"/>
    <x v="3"/>
    <x v="3"/>
    <n v="1"/>
    <n v="650"/>
    <n v="0"/>
    <s v="Lerato K."/>
    <s v="Retail"/>
    <s v="Card"/>
    <x v="202"/>
    <x v="10"/>
    <n v="4"/>
    <n v="403"/>
    <n v="247"/>
  </r>
  <r>
    <s v="ORD-1500"/>
    <d v="2025-10-27T00:00:00"/>
    <x v="6"/>
    <s v="Polokwane"/>
    <x v="1"/>
    <x v="1"/>
    <n v="1"/>
    <n v="8200"/>
    <n v="0"/>
    <s v="Naledi P."/>
    <s v="Retail"/>
    <s v="Card"/>
    <x v="20"/>
    <x v="10"/>
    <n v="4"/>
    <n v="5084"/>
    <n v="3116"/>
  </r>
  <r>
    <s v="ORD-1501"/>
    <d v="2025-10-27T00:00:00"/>
    <x v="4"/>
    <s v="Johannesburg"/>
    <x v="1"/>
    <x v="1"/>
    <n v="1"/>
    <n v="8200"/>
    <n v="0.15"/>
    <s v="Naledi P."/>
    <s v="Retail"/>
    <s v="EFT"/>
    <x v="233"/>
    <x v="10"/>
    <n v="4"/>
    <n v="5084"/>
    <n v="1886"/>
  </r>
  <r>
    <s v="ORD-1502"/>
    <d v="2025-10-27T00:00:00"/>
    <x v="4"/>
    <s v="Sandton"/>
    <x v="3"/>
    <x v="3"/>
    <n v="2"/>
    <n v="650"/>
    <n v="0"/>
    <s v="Pieter V."/>
    <s v="Business"/>
    <s v="Card"/>
    <x v="77"/>
    <x v="10"/>
    <n v="4"/>
    <n v="403"/>
    <n v="494"/>
  </r>
  <r>
    <s v="ORD-1503"/>
    <d v="2025-10-28T00:00:00"/>
    <x v="3"/>
    <s v="Pietermaritzburg"/>
    <x v="1"/>
    <x v="7"/>
    <n v="4"/>
    <n v="12500"/>
    <n v="0.05"/>
    <s v="Pieter V."/>
    <s v="Business"/>
    <s v="Mobile Wallet"/>
    <x v="153"/>
    <x v="10"/>
    <n v="4"/>
    <n v="7750"/>
    <n v="16500"/>
  </r>
  <r>
    <s v="ORD-1504"/>
    <d v="2025-10-29T00:00:00"/>
    <x v="6"/>
    <s v="Polokwane"/>
    <x v="1"/>
    <x v="12"/>
    <n v="4"/>
    <n v="5400"/>
    <n v="0.15"/>
    <s v="Ayesha D."/>
    <s v="Retail"/>
    <s v="Mobile Wallet"/>
    <x v="234"/>
    <x v="10"/>
    <n v="4"/>
    <n v="3348"/>
    <n v="4968"/>
  </r>
  <r>
    <s v="ORD-1505"/>
    <d v="2025-10-29T00:00:00"/>
    <x v="3"/>
    <s v="Pietermaritzburg"/>
    <x v="2"/>
    <x v="2"/>
    <n v="27"/>
    <n v="120"/>
    <n v="0.05"/>
    <s v="Pieter V."/>
    <s v="Retail"/>
    <s v="Card"/>
    <x v="235"/>
    <x v="10"/>
    <n v="4"/>
    <n v="74"/>
    <n v="1080"/>
  </r>
  <r>
    <s v="ORD-1506"/>
    <d v="2025-10-29T00:00:00"/>
    <x v="4"/>
    <s v="Pretoria"/>
    <x v="4"/>
    <x v="5"/>
    <n v="3"/>
    <n v="1900"/>
    <n v="0"/>
    <s v="Sipho N."/>
    <s v="Retail"/>
    <s v="EFT"/>
    <x v="33"/>
    <x v="10"/>
    <n v="4"/>
    <n v="1178"/>
    <n v="2166"/>
  </r>
  <r>
    <s v="ORD-1507"/>
    <d v="2025-10-30T00:00:00"/>
    <x v="4"/>
    <s v="Sandton"/>
    <x v="4"/>
    <x v="14"/>
    <n v="1"/>
    <n v="2300"/>
    <n v="0.15"/>
    <s v="Naledi P."/>
    <s v="Business"/>
    <s v="Mobile Wallet"/>
    <x v="236"/>
    <x v="10"/>
    <n v="4"/>
    <n v="1426"/>
    <n v="529"/>
  </r>
  <r>
    <s v="ORD-1508"/>
    <d v="2025-10-31T00:00:00"/>
    <x v="4"/>
    <s v="Pretoria"/>
    <x v="1"/>
    <x v="11"/>
    <n v="3"/>
    <n v="3100"/>
    <n v="0.1"/>
    <s v="Lerato K."/>
    <s v="Business"/>
    <s v="Cash"/>
    <x v="129"/>
    <x v="10"/>
    <n v="4"/>
    <n v="1922"/>
    <n v="2604"/>
  </r>
  <r>
    <s v="ORD-1509"/>
    <d v="2025-11-01T00:00:00"/>
    <x v="2"/>
    <s v="Stellenbosch"/>
    <x v="1"/>
    <x v="10"/>
    <n v="4"/>
    <n v="1450"/>
    <n v="0"/>
    <s v="Lerato K."/>
    <s v="Business"/>
    <s v="Mobile Wallet"/>
    <x v="163"/>
    <x v="11"/>
    <n v="4"/>
    <n v="899"/>
    <n v="2204"/>
  </r>
  <r>
    <s v="ORD-1510"/>
    <d v="2025-11-01T00:00:00"/>
    <x v="4"/>
    <s v="Pretoria"/>
    <x v="3"/>
    <x v="4"/>
    <n v="1"/>
    <n v="520"/>
    <n v="0.05"/>
    <s v="Ayesha D."/>
    <s v="Retail"/>
    <s v="Cash"/>
    <x v="92"/>
    <x v="11"/>
    <n v="4"/>
    <n v="322"/>
    <n v="172"/>
  </r>
  <r>
    <s v="ORD-1511"/>
    <d v="2025-11-01T00:00:00"/>
    <x v="3"/>
    <s v="Pietermaritzburg"/>
    <x v="1"/>
    <x v="11"/>
    <n v="4"/>
    <n v="3100"/>
    <n v="0"/>
    <s v="Thabo M."/>
    <s v="Retail"/>
    <s v="Cash"/>
    <x v="12"/>
    <x v="11"/>
    <n v="4"/>
    <n v="1922"/>
    <n v="4712"/>
  </r>
  <r>
    <s v="ORD-1512"/>
    <d v="2025-11-02T00:00:00"/>
    <x v="3"/>
    <s v="Pietermaritzburg"/>
    <x v="1"/>
    <x v="1"/>
    <n v="3"/>
    <n v="8200"/>
    <n v="0.15"/>
    <s v="Pieter V."/>
    <s v="Retail"/>
    <s v="Cash"/>
    <x v="172"/>
    <x v="11"/>
    <n v="4"/>
    <n v="5084"/>
    <n v="5658"/>
  </r>
  <r>
    <s v="ORD-1513"/>
    <d v="2025-11-02T00:00:00"/>
    <x v="4"/>
    <s v="Sandton"/>
    <x v="1"/>
    <x v="7"/>
    <n v="1"/>
    <n v="12500"/>
    <n v="0"/>
    <s v="Thabo M."/>
    <s v="Retail"/>
    <s v="EFT"/>
    <x v="8"/>
    <x v="11"/>
    <n v="4"/>
    <n v="7750"/>
    <n v="4750"/>
  </r>
  <r>
    <s v="ORD-1514"/>
    <d v="2025-11-03T00:00:00"/>
    <x v="2"/>
    <s v="Cape Town"/>
    <x v="3"/>
    <x v="3"/>
    <n v="2"/>
    <n v="650"/>
    <n v="0"/>
    <s v="Lerato K."/>
    <s v="Retail"/>
    <s v="EFT"/>
    <x v="77"/>
    <x v="11"/>
    <n v="4"/>
    <n v="403"/>
    <n v="494"/>
  </r>
  <r>
    <s v="ORD-1515"/>
    <d v="2025-11-03T00:00:00"/>
    <x v="2"/>
    <s v="Stellenbosch"/>
    <x v="4"/>
    <x v="14"/>
    <n v="3"/>
    <n v="2300"/>
    <n v="0.05"/>
    <s v="Ayesha D."/>
    <s v="Business"/>
    <s v="Cash"/>
    <x v="84"/>
    <x v="11"/>
    <n v="4"/>
    <n v="1426"/>
    <n v="2277"/>
  </r>
  <r>
    <s v="ORD-1516"/>
    <d v="2025-11-03T00:00:00"/>
    <x v="5"/>
    <s v="Gqeberha"/>
    <x v="1"/>
    <x v="1"/>
    <n v="1"/>
    <n v="8200"/>
    <n v="0"/>
    <s v="Naledi P."/>
    <s v="Retail"/>
    <s v="Mobile Wallet"/>
    <x v="20"/>
    <x v="11"/>
    <n v="4"/>
    <n v="5084"/>
    <n v="3116"/>
  </r>
  <r>
    <s v="ORD-1517"/>
    <d v="2025-11-04T00:00:00"/>
    <x v="4"/>
    <s v="Pretoria"/>
    <x v="1"/>
    <x v="12"/>
    <n v="4"/>
    <n v="5400"/>
    <n v="0"/>
    <s v="Thabo M."/>
    <s v="Business"/>
    <s v="EFT"/>
    <x v="87"/>
    <x v="11"/>
    <n v="4"/>
    <n v="3348"/>
    <n v="8208"/>
  </r>
  <r>
    <s v="ORD-1518"/>
    <d v="2025-11-06T00:00:00"/>
    <x v="5"/>
    <s v="East London"/>
    <x v="4"/>
    <x v="8"/>
    <n v="2"/>
    <n v="3600"/>
    <n v="0.15"/>
    <s v="Thabo M."/>
    <s v="Retail"/>
    <s v="Card"/>
    <x v="115"/>
    <x v="11"/>
    <n v="4"/>
    <n v="2232"/>
    <n v="1656"/>
  </r>
  <r>
    <s v="ORD-1519"/>
    <d v="2025-11-08T00:00:00"/>
    <x v="3"/>
    <s v="Durban"/>
    <x v="2"/>
    <x v="2"/>
    <n v="35"/>
    <n v="120"/>
    <n v="0.05"/>
    <s v="Ayesha D."/>
    <s v="Business"/>
    <s v="Cash"/>
    <x v="17"/>
    <x v="11"/>
    <n v="4"/>
    <n v="74"/>
    <n v="1400"/>
  </r>
  <r>
    <s v="ORD-1520"/>
    <d v="2025-11-09T00:00:00"/>
    <x v="3"/>
    <s v="Durban"/>
    <x v="1"/>
    <x v="12"/>
    <n v="1"/>
    <n v="5400"/>
    <n v="0"/>
    <s v="Naledi P."/>
    <s v="Retail"/>
    <s v="EFT"/>
    <x v="24"/>
    <x v="11"/>
    <n v="4"/>
    <n v="3348"/>
    <n v="2052"/>
  </r>
  <r>
    <s v="ORD-1521"/>
    <d v="2025-11-10T00:00:00"/>
    <x v="1"/>
    <s v="Bloemfontein"/>
    <x v="4"/>
    <x v="14"/>
    <n v="1"/>
    <n v="2300"/>
    <n v="0"/>
    <s v="Ayesha D."/>
    <s v="Retail"/>
    <s v="Card"/>
    <x v="28"/>
    <x v="11"/>
    <n v="4"/>
    <n v="1426"/>
    <n v="874"/>
  </r>
  <r>
    <s v="ORD-1522"/>
    <d v="2025-11-13T00:00:00"/>
    <x v="5"/>
    <s v="Gqeberha"/>
    <x v="1"/>
    <x v="12"/>
    <n v="4"/>
    <n v="5400"/>
    <n v="0"/>
    <s v="Thabo M."/>
    <s v="Business"/>
    <s v="Mobile Wallet"/>
    <x v="87"/>
    <x v="11"/>
    <n v="4"/>
    <n v="3348"/>
    <n v="8208"/>
  </r>
  <r>
    <s v="ORD-1523"/>
    <d v="2025-11-13T00:00:00"/>
    <x v="2"/>
    <s v="Stellenbosch"/>
    <x v="3"/>
    <x v="3"/>
    <n v="1"/>
    <n v="650"/>
    <n v="0"/>
    <s v="Lerato K."/>
    <s v="Retail"/>
    <s v="Cash"/>
    <x v="202"/>
    <x v="11"/>
    <n v="4"/>
    <n v="403"/>
    <n v="247"/>
  </r>
  <r>
    <s v="ORD-1524"/>
    <d v="2025-11-14T00:00:00"/>
    <x v="3"/>
    <s v="Durban"/>
    <x v="3"/>
    <x v="13"/>
    <n v="3"/>
    <n v="180"/>
    <n v="0.15"/>
    <s v="Lerato K."/>
    <s v="Business"/>
    <s v="Card"/>
    <x v="104"/>
    <x v="11"/>
    <n v="4"/>
    <n v="112"/>
    <n v="123"/>
  </r>
  <r>
    <s v="ORD-1525"/>
    <d v="2025-11-15T00:00:00"/>
    <x v="2"/>
    <s v="Stellenbosch"/>
    <x v="1"/>
    <x v="12"/>
    <n v="3"/>
    <n v="5400"/>
    <n v="0.05"/>
    <s v="Ayesha D."/>
    <s v="Retail"/>
    <s v="Mobile Wallet"/>
    <x v="130"/>
    <x v="11"/>
    <n v="4"/>
    <n v="3348"/>
    <n v="5346"/>
  </r>
  <r>
    <s v="ORD-1526"/>
    <d v="2025-11-15T00:00:00"/>
    <x v="3"/>
    <s v="Pietermaritzburg"/>
    <x v="4"/>
    <x v="14"/>
    <n v="1"/>
    <n v="2300"/>
    <n v="0.05"/>
    <s v="Ayesha D."/>
    <s v="Retail"/>
    <s v="Cash"/>
    <x v="237"/>
    <x v="11"/>
    <n v="4"/>
    <n v="1426"/>
    <n v="759"/>
  </r>
  <r>
    <s v="ORD-1527"/>
    <d v="2025-11-17T00:00:00"/>
    <x v="3"/>
    <s v="Durban"/>
    <x v="2"/>
    <x v="2"/>
    <n v="16"/>
    <n v="120"/>
    <n v="0.1"/>
    <s v="Sipho N."/>
    <s v="Retail"/>
    <s v="Mobile Wallet"/>
    <x v="238"/>
    <x v="11"/>
    <n v="4"/>
    <n v="74"/>
    <n v="544"/>
  </r>
  <r>
    <s v="ORD-1528"/>
    <d v="2025-11-18T00:00:00"/>
    <x v="1"/>
    <s v="Bloemfontein"/>
    <x v="1"/>
    <x v="11"/>
    <n v="1"/>
    <n v="3100"/>
    <n v="0.1"/>
    <s v="Lerato K."/>
    <s v="Retail"/>
    <s v="Cash"/>
    <x v="164"/>
    <x v="11"/>
    <n v="4"/>
    <n v="1922"/>
    <n v="868"/>
  </r>
  <r>
    <s v="ORD-1529"/>
    <d v="2025-11-18T00:00:00"/>
    <x v="4"/>
    <s v="Johannesburg"/>
    <x v="2"/>
    <x v="2"/>
    <n v="37"/>
    <n v="120"/>
    <n v="0.05"/>
    <s v="Ayesha D."/>
    <s v="Retail"/>
    <s v="Card"/>
    <x v="239"/>
    <x v="11"/>
    <n v="4"/>
    <n v="74"/>
    <n v="1480"/>
  </r>
  <r>
    <s v="ORD-1530"/>
    <d v="2025-11-19T00:00:00"/>
    <x v="5"/>
    <s v="Gqeberha"/>
    <x v="2"/>
    <x v="9"/>
    <n v="25"/>
    <n v="85"/>
    <n v="0.15"/>
    <s v="Thabo M."/>
    <s v="Business"/>
    <s v="Mobile Wallet"/>
    <x v="240"/>
    <x v="11"/>
    <n v="4"/>
    <n v="53"/>
    <n v="481.25"/>
  </r>
  <r>
    <s v="ORD-1531"/>
    <d v="2025-11-19T00:00:00"/>
    <x v="2"/>
    <s v="Stellenbosch"/>
    <x v="1"/>
    <x v="10"/>
    <n v="2"/>
    <n v="1450"/>
    <n v="0.1"/>
    <s v="Sipho N."/>
    <s v="Retail"/>
    <s v="Cash"/>
    <x v="118"/>
    <x v="11"/>
    <n v="4"/>
    <n v="899"/>
    <n v="812"/>
  </r>
  <r>
    <s v="ORD-1532"/>
    <d v="2025-11-20T00:00:00"/>
    <x v="4"/>
    <s v="Sandton"/>
    <x v="1"/>
    <x v="1"/>
    <n v="1"/>
    <n v="8200"/>
    <n v="0"/>
    <s v="Lerato K."/>
    <s v="Retail"/>
    <s v="Card"/>
    <x v="20"/>
    <x v="11"/>
    <n v="4"/>
    <n v="5084"/>
    <n v="3116"/>
  </r>
  <r>
    <s v="ORD-1533"/>
    <d v="2025-11-21T00:00:00"/>
    <x v="4"/>
    <s v="Johannesburg"/>
    <x v="1"/>
    <x v="10"/>
    <n v="1"/>
    <n v="1450"/>
    <n v="0"/>
    <s v="Pieter V."/>
    <s v="Retail"/>
    <s v="Mobile Wallet"/>
    <x v="171"/>
    <x v="11"/>
    <n v="4"/>
    <n v="899"/>
    <n v="551"/>
  </r>
  <r>
    <s v="ORD-1534"/>
    <d v="2025-11-24T00:00:00"/>
    <x v="2"/>
    <s v="Stellenbosch"/>
    <x v="2"/>
    <x v="6"/>
    <n v="8"/>
    <n v="210"/>
    <n v="0"/>
    <s v="Lerato K."/>
    <s v="Retail"/>
    <s v="Card"/>
    <x v="241"/>
    <x v="11"/>
    <n v="4"/>
    <n v="130"/>
    <n v="640"/>
  </r>
  <r>
    <s v="ORD-1535"/>
    <d v="2025-11-24T00:00:00"/>
    <x v="6"/>
    <s v="Polokwane"/>
    <x v="1"/>
    <x v="7"/>
    <n v="4"/>
    <n v="12500"/>
    <n v="0"/>
    <s v="Naledi P."/>
    <s v="Business"/>
    <s v="Card"/>
    <x v="62"/>
    <x v="11"/>
    <n v="4"/>
    <n v="7750"/>
    <n v="19000"/>
  </r>
  <r>
    <s v="ORD-1536"/>
    <d v="2025-11-25T00:00:00"/>
    <x v="2"/>
    <s v="Stellenbosch"/>
    <x v="4"/>
    <x v="14"/>
    <n v="3"/>
    <n v="2300"/>
    <n v="0.15"/>
    <s v="Thabo M."/>
    <s v="Business"/>
    <s v="Cash"/>
    <x v="209"/>
    <x v="11"/>
    <n v="4"/>
    <n v="1426"/>
    <n v="1587"/>
  </r>
  <r>
    <s v="ORD-1537"/>
    <d v="2025-11-26T00:00:00"/>
    <x v="4"/>
    <s v="Johannesburg"/>
    <x v="2"/>
    <x v="2"/>
    <n v="24"/>
    <n v="120"/>
    <n v="0"/>
    <s v="Lerato K."/>
    <s v="Business"/>
    <s v="Card"/>
    <x v="217"/>
    <x v="11"/>
    <n v="4"/>
    <n v="74"/>
    <n v="1104"/>
  </r>
  <r>
    <s v="ORD-1538"/>
    <d v="2025-11-27T00:00:00"/>
    <x v="3"/>
    <s v="Pietermaritzburg"/>
    <x v="1"/>
    <x v="1"/>
    <n v="2"/>
    <n v="8200"/>
    <n v="0"/>
    <s v="Pieter V."/>
    <s v="Business"/>
    <s v="EFT"/>
    <x v="126"/>
    <x v="11"/>
    <n v="4"/>
    <n v="5084"/>
    <n v="6232"/>
  </r>
  <r>
    <s v="ORD-1539"/>
    <d v="2025-11-27T00:00:00"/>
    <x v="3"/>
    <s v="Pietermaritzburg"/>
    <x v="2"/>
    <x v="2"/>
    <n v="11"/>
    <n v="120"/>
    <n v="0.15"/>
    <s v="Pieter V."/>
    <s v="Retail"/>
    <s v="Mobile Wallet"/>
    <x v="242"/>
    <x v="11"/>
    <n v="4"/>
    <n v="74"/>
    <n v="308"/>
  </r>
  <r>
    <s v="ORD-1540"/>
    <d v="2025-11-27T00:00:00"/>
    <x v="3"/>
    <s v="Durban"/>
    <x v="3"/>
    <x v="3"/>
    <n v="2"/>
    <n v="650"/>
    <n v="0"/>
    <s v="Pieter V."/>
    <s v="Retail"/>
    <s v="Cash"/>
    <x v="77"/>
    <x v="11"/>
    <n v="4"/>
    <n v="403"/>
    <n v="494"/>
  </r>
  <r>
    <s v="ORD-1541"/>
    <d v="2025-11-27T00:00:00"/>
    <x v="4"/>
    <s v="Sandton"/>
    <x v="2"/>
    <x v="6"/>
    <n v="33"/>
    <n v="210"/>
    <n v="0"/>
    <s v="Sipho N."/>
    <s v="Retail"/>
    <s v="Cash"/>
    <x v="243"/>
    <x v="11"/>
    <n v="4"/>
    <n v="130"/>
    <n v="2640"/>
  </r>
  <r>
    <s v="ORD-1542"/>
    <d v="2025-11-28T00:00:00"/>
    <x v="4"/>
    <s v="Sandton"/>
    <x v="3"/>
    <x v="4"/>
    <n v="4"/>
    <n v="520"/>
    <n v="0.15"/>
    <s v="Sipho N."/>
    <s v="Retail"/>
    <s v="EFT"/>
    <x v="219"/>
    <x v="11"/>
    <n v="4"/>
    <n v="322"/>
    <n v="480"/>
  </r>
  <r>
    <s v="ORD-1543"/>
    <d v="2025-11-28T00:00:00"/>
    <x v="3"/>
    <s v="Pietermaritzburg"/>
    <x v="4"/>
    <x v="8"/>
    <n v="3"/>
    <n v="3600"/>
    <n v="0.05"/>
    <s v="Naledi P."/>
    <s v="Business"/>
    <s v="Card"/>
    <x v="23"/>
    <x v="11"/>
    <n v="4"/>
    <n v="2232"/>
    <n v="3564"/>
  </r>
  <r>
    <s v="ORD-1544"/>
    <d v="2025-11-29T00:00:00"/>
    <x v="4"/>
    <s v="Pretoria"/>
    <x v="3"/>
    <x v="3"/>
    <n v="1"/>
    <n v="650"/>
    <n v="0.1"/>
    <s v="Lerato K."/>
    <s v="Business"/>
    <s v="Cash"/>
    <x v="25"/>
    <x v="11"/>
    <n v="4"/>
    <n v="403"/>
    <n v="182"/>
  </r>
  <r>
    <s v="ORD-1545"/>
    <d v="2025-11-29T00:00:00"/>
    <x v="4"/>
    <s v="Johannesburg"/>
    <x v="1"/>
    <x v="7"/>
    <n v="2"/>
    <n v="12500"/>
    <n v="0"/>
    <s v="Thabo M."/>
    <s v="Business"/>
    <s v="Cash"/>
    <x v="189"/>
    <x v="11"/>
    <n v="4"/>
    <n v="7750"/>
    <n v="9500"/>
  </r>
  <r>
    <s v="ORD-1546"/>
    <d v="2025-11-30T00:00:00"/>
    <x v="2"/>
    <s v="Cape Town"/>
    <x v="2"/>
    <x v="2"/>
    <n v="11"/>
    <n v="120"/>
    <n v="0"/>
    <s v="Naledi P."/>
    <s v="Retail"/>
    <s v="EFT"/>
    <x v="135"/>
    <x v="11"/>
    <n v="4"/>
    <n v="74"/>
    <n v="506"/>
  </r>
  <r>
    <s v="ORD-1547"/>
    <d v="2025-11-30T00:00:00"/>
    <x v="4"/>
    <s v="Sandton"/>
    <x v="1"/>
    <x v="11"/>
    <n v="2"/>
    <n v="3100"/>
    <n v="0"/>
    <s v="Sipho N."/>
    <s v="Business"/>
    <s v="Card"/>
    <x v="49"/>
    <x v="11"/>
    <n v="4"/>
    <n v="1922"/>
    <n v="2356"/>
  </r>
  <r>
    <s v="ORD-1548"/>
    <d v="2025-11-30T00:00:00"/>
    <x v="2"/>
    <s v="Cape Town"/>
    <x v="2"/>
    <x v="9"/>
    <n v="9"/>
    <n v="85"/>
    <n v="0.15"/>
    <s v="Sipho N."/>
    <s v="Business"/>
    <s v="EFT"/>
    <x v="244"/>
    <x v="11"/>
    <n v="4"/>
    <n v="53"/>
    <n v="173.25"/>
  </r>
  <r>
    <s v="ORD-1549"/>
    <d v="2025-11-30T00:00:00"/>
    <x v="5"/>
    <s v="Gqeberha"/>
    <x v="4"/>
    <x v="5"/>
    <n v="3"/>
    <n v="1900"/>
    <n v="0"/>
    <s v="Ayesha D."/>
    <s v="Business"/>
    <s v="Mobile Wallet"/>
    <x v="33"/>
    <x v="11"/>
    <n v="4"/>
    <n v="1178"/>
    <n v="2166"/>
  </r>
  <r>
    <s v="ORD-1550"/>
    <d v="2025-12-01T00:00:00"/>
    <x v="5"/>
    <s v="East London"/>
    <x v="1"/>
    <x v="1"/>
    <n v="3"/>
    <n v="8200"/>
    <n v="0.05"/>
    <s v="Naledi P."/>
    <s v="Business"/>
    <s v="Card"/>
    <x v="185"/>
    <x v="12"/>
    <n v="4"/>
    <n v="5084"/>
    <n v="8118"/>
  </r>
  <r>
    <s v="ORD-1551"/>
    <d v="2025-12-02T00:00:00"/>
    <x v="5"/>
    <s v="Gqeberha"/>
    <x v="3"/>
    <x v="4"/>
    <n v="4"/>
    <n v="520"/>
    <n v="0"/>
    <s v="Sipho N."/>
    <s v="Retail"/>
    <s v="Cash"/>
    <x v="57"/>
    <x v="12"/>
    <n v="4"/>
    <n v="322"/>
    <n v="792"/>
  </r>
  <r>
    <s v="ORD-1552"/>
    <d v="2025-12-04T00:00:00"/>
    <x v="2"/>
    <s v="Stellenbosch"/>
    <x v="2"/>
    <x v="2"/>
    <n v="37"/>
    <n v="120"/>
    <n v="0.15"/>
    <s v="Lerato K."/>
    <s v="Retail"/>
    <s v="Mobile Wallet"/>
    <x v="125"/>
    <x v="12"/>
    <n v="4"/>
    <n v="74"/>
    <n v="1036"/>
  </r>
  <r>
    <s v="ORD-1553"/>
    <d v="2025-12-04T00:00:00"/>
    <x v="3"/>
    <s v="Durban"/>
    <x v="4"/>
    <x v="5"/>
    <n v="2"/>
    <n v="1900"/>
    <n v="0.05"/>
    <s v="Sipho N."/>
    <s v="Business"/>
    <s v="EFT"/>
    <x v="221"/>
    <x v="12"/>
    <n v="4"/>
    <n v="1178"/>
    <n v="1254"/>
  </r>
  <r>
    <s v="ORD-1554"/>
    <d v="2025-12-04T00:00:00"/>
    <x v="4"/>
    <s v="Pretoria"/>
    <x v="1"/>
    <x v="12"/>
    <n v="1"/>
    <n v="5400"/>
    <n v="0.1"/>
    <s v="Naledi P."/>
    <s v="Retail"/>
    <s v="Mobile Wallet"/>
    <x v="94"/>
    <x v="12"/>
    <n v="4"/>
    <n v="3348"/>
    <n v="1512"/>
  </r>
  <r>
    <s v="ORD-1555"/>
    <d v="2025-12-05T00:00:00"/>
    <x v="2"/>
    <s v="Cape Town"/>
    <x v="2"/>
    <x v="2"/>
    <n v="13"/>
    <n v="120"/>
    <n v="0.05"/>
    <s v="Pieter V."/>
    <s v="Retail"/>
    <s v="Mobile Wallet"/>
    <x v="245"/>
    <x v="12"/>
    <n v="4"/>
    <n v="74"/>
    <n v="520"/>
  </r>
  <r>
    <s v="ORD-1556"/>
    <d v="2025-12-06T00:00:00"/>
    <x v="2"/>
    <s v="Cape Town"/>
    <x v="2"/>
    <x v="6"/>
    <n v="20"/>
    <n v="210"/>
    <n v="0"/>
    <s v="Sipho N."/>
    <s v="Business"/>
    <s v="Cash"/>
    <x v="205"/>
    <x v="12"/>
    <n v="4"/>
    <n v="130"/>
    <n v="1600"/>
  </r>
  <r>
    <s v="ORD-1557"/>
    <d v="2025-12-06T00:00:00"/>
    <x v="1"/>
    <s v="Bloemfontein"/>
    <x v="2"/>
    <x v="6"/>
    <n v="12"/>
    <n v="210"/>
    <n v="0.15"/>
    <s v="Naledi P."/>
    <s v="Retail"/>
    <s v="Cash"/>
    <x v="246"/>
    <x v="12"/>
    <n v="4"/>
    <n v="130"/>
    <n v="582"/>
  </r>
  <r>
    <s v="ORD-1558"/>
    <d v="2025-12-06T00:00:00"/>
    <x v="4"/>
    <s v="Sandton"/>
    <x v="1"/>
    <x v="10"/>
    <n v="1"/>
    <n v="1450"/>
    <n v="0"/>
    <s v="Lerato K."/>
    <s v="Business"/>
    <s v="Mobile Wallet"/>
    <x v="171"/>
    <x v="12"/>
    <n v="4"/>
    <n v="899"/>
    <n v="551"/>
  </r>
  <r>
    <s v="ORD-1559"/>
    <d v="2025-12-06T00:00:00"/>
    <x v="4"/>
    <s v="Johannesburg"/>
    <x v="2"/>
    <x v="9"/>
    <n v="19"/>
    <n v="85"/>
    <n v="0"/>
    <s v="Ayesha D."/>
    <s v="Retail"/>
    <s v="Card"/>
    <x v="151"/>
    <x v="12"/>
    <n v="4"/>
    <n v="53"/>
    <n v="608"/>
  </r>
  <r>
    <s v="ORD-1560"/>
    <d v="2025-12-08T00:00:00"/>
    <x v="3"/>
    <s v="Durban"/>
    <x v="1"/>
    <x v="1"/>
    <n v="2"/>
    <n v="8200"/>
    <n v="0"/>
    <s v="Thabo M."/>
    <s v="Retail"/>
    <s v="Card"/>
    <x v="126"/>
    <x v="12"/>
    <n v="4"/>
    <n v="5084"/>
    <n v="6232"/>
  </r>
  <r>
    <s v="ORD-1561"/>
    <d v="2025-12-08T00:00:00"/>
    <x v="2"/>
    <s v="Cape Town"/>
    <x v="1"/>
    <x v="11"/>
    <n v="3"/>
    <n v="3100"/>
    <n v="0"/>
    <s v="Ayesha D."/>
    <s v="Retail"/>
    <s v="EFT"/>
    <x v="38"/>
    <x v="12"/>
    <n v="4"/>
    <n v="1922"/>
    <n v="3534"/>
  </r>
  <r>
    <s v="ORD-1562"/>
    <d v="2025-12-09T00:00:00"/>
    <x v="2"/>
    <s v="Stellenbosch"/>
    <x v="2"/>
    <x v="2"/>
    <n v="40"/>
    <n v="120"/>
    <n v="0.05"/>
    <s v="Pieter V."/>
    <s v="Business"/>
    <s v="EFT"/>
    <x v="247"/>
    <x v="12"/>
    <n v="4"/>
    <n v="74"/>
    <n v="1600"/>
  </r>
  <r>
    <s v="ORD-1563"/>
    <d v="2025-12-09T00:00:00"/>
    <x v="3"/>
    <s v="Durban"/>
    <x v="3"/>
    <x v="3"/>
    <n v="4"/>
    <n v="650"/>
    <n v="0.1"/>
    <s v="Ayesha D."/>
    <s v="Retail"/>
    <s v="Cash"/>
    <x v="61"/>
    <x v="12"/>
    <n v="4"/>
    <n v="403"/>
    <n v="728"/>
  </r>
  <r>
    <s v="ORD-1564"/>
    <d v="2025-12-09T00:00:00"/>
    <x v="4"/>
    <s v="Johannesburg"/>
    <x v="1"/>
    <x v="12"/>
    <n v="3"/>
    <n v="5400"/>
    <n v="0"/>
    <s v="Naledi P."/>
    <s v="Business"/>
    <s v="Card"/>
    <x v="36"/>
    <x v="12"/>
    <n v="4"/>
    <n v="3348"/>
    <n v="6156"/>
  </r>
  <r>
    <s v="ORD-1565"/>
    <d v="2025-12-10T00:00:00"/>
    <x v="2"/>
    <s v="Stellenbosch"/>
    <x v="1"/>
    <x v="1"/>
    <n v="3"/>
    <n v="8200"/>
    <n v="0"/>
    <s v="Thabo M."/>
    <s v="Retail"/>
    <s v="Mobile Wallet"/>
    <x v="187"/>
    <x v="12"/>
    <n v="4"/>
    <n v="5084"/>
    <n v="9348"/>
  </r>
  <r>
    <s v="ORD-1566"/>
    <d v="2025-12-11T00:00:00"/>
    <x v="6"/>
    <s v="Polokwane"/>
    <x v="1"/>
    <x v="10"/>
    <n v="3"/>
    <n v="1450"/>
    <n v="0.05"/>
    <s v="Pieter V."/>
    <s v="Retail"/>
    <s v="EFT"/>
    <x v="175"/>
    <x v="12"/>
    <n v="4"/>
    <n v="899"/>
    <n v="1435.5"/>
  </r>
  <r>
    <s v="ORD-1567"/>
    <d v="2025-12-12T00:00:00"/>
    <x v="2"/>
    <s v="Stellenbosch"/>
    <x v="1"/>
    <x v="10"/>
    <n v="1"/>
    <n v="1450"/>
    <n v="0"/>
    <s v="Lerato K."/>
    <s v="Business"/>
    <s v="Cash"/>
    <x v="171"/>
    <x v="12"/>
    <n v="4"/>
    <n v="899"/>
    <n v="551"/>
  </r>
  <r>
    <s v="ORD-1568"/>
    <d v="2025-12-13T00:00:00"/>
    <x v="2"/>
    <s v="Cape Town"/>
    <x v="4"/>
    <x v="14"/>
    <n v="1"/>
    <n v="2300"/>
    <n v="0"/>
    <s v="Ayesha D."/>
    <s v="Retail"/>
    <s v="Cash"/>
    <x v="28"/>
    <x v="12"/>
    <n v="4"/>
    <n v="1426"/>
    <n v="874"/>
  </r>
  <r>
    <s v="ORD-1569"/>
    <d v="2025-12-13T00:00:00"/>
    <x v="6"/>
    <s v="Polokwane"/>
    <x v="1"/>
    <x v="10"/>
    <n v="1"/>
    <n v="1450"/>
    <n v="0.15"/>
    <s v="Sipho N."/>
    <s v="Business"/>
    <s v="Card"/>
    <x v="158"/>
    <x v="12"/>
    <n v="4"/>
    <n v="899"/>
    <n v="333.5"/>
  </r>
  <r>
    <s v="ORD-1570"/>
    <d v="2025-12-14T00:00:00"/>
    <x v="6"/>
    <s v="Polokwane"/>
    <x v="2"/>
    <x v="2"/>
    <n v="14"/>
    <n v="120"/>
    <n v="0"/>
    <s v="Naledi P."/>
    <s v="Business"/>
    <s v="Card"/>
    <x v="241"/>
    <x v="12"/>
    <n v="4"/>
    <n v="74"/>
    <n v="644"/>
  </r>
  <r>
    <s v="ORD-1571"/>
    <d v="2025-12-14T00:00:00"/>
    <x v="2"/>
    <s v="Cape Town"/>
    <x v="3"/>
    <x v="3"/>
    <n v="4"/>
    <n v="650"/>
    <n v="0"/>
    <s v="Pieter V."/>
    <s v="Retail"/>
    <s v="Cash"/>
    <x v="3"/>
    <x v="12"/>
    <n v="4"/>
    <n v="403"/>
    <n v="988"/>
  </r>
  <r>
    <s v="ORD-1572"/>
    <d v="2025-12-15T00:00:00"/>
    <x v="4"/>
    <s v="Sandton"/>
    <x v="2"/>
    <x v="9"/>
    <n v="13"/>
    <n v="85"/>
    <n v="0"/>
    <s v="Ayesha D."/>
    <s v="Retail"/>
    <s v="EFT"/>
    <x v="122"/>
    <x v="12"/>
    <n v="4"/>
    <n v="53"/>
    <n v="416"/>
  </r>
  <r>
    <s v="ORD-1573"/>
    <d v="2025-12-16T00:00:00"/>
    <x v="4"/>
    <s v="Sandton"/>
    <x v="3"/>
    <x v="4"/>
    <n v="2"/>
    <n v="520"/>
    <n v="0.05"/>
    <s v="Lerato K."/>
    <s v="Business"/>
    <s v="EFT"/>
    <x v="44"/>
    <x v="12"/>
    <n v="4"/>
    <n v="322"/>
    <n v="344"/>
  </r>
  <r>
    <s v="ORD-1574"/>
    <d v="2025-12-18T00:00:00"/>
    <x v="4"/>
    <s v="Sandton"/>
    <x v="4"/>
    <x v="14"/>
    <n v="1"/>
    <n v="2300"/>
    <n v="0"/>
    <s v="Sipho N."/>
    <s v="Business"/>
    <s v="EFT"/>
    <x v="28"/>
    <x v="12"/>
    <n v="4"/>
    <n v="1426"/>
    <n v="874"/>
  </r>
  <r>
    <s v="ORD-1575"/>
    <d v="2025-12-19T00:00:00"/>
    <x v="4"/>
    <s v="Pretoria"/>
    <x v="3"/>
    <x v="3"/>
    <n v="4"/>
    <n v="650"/>
    <n v="0.05"/>
    <s v="Sipho N."/>
    <s v="Retail"/>
    <s v="Cash"/>
    <x v="83"/>
    <x v="12"/>
    <n v="4"/>
    <n v="403"/>
    <n v="858"/>
  </r>
  <r>
    <s v="ORD-1576"/>
    <d v="2025-12-19T00:00:00"/>
    <x v="5"/>
    <s v="Gqeberha"/>
    <x v="1"/>
    <x v="12"/>
    <n v="2"/>
    <n v="5400"/>
    <n v="0"/>
    <s v="Thabo M."/>
    <s v="Business"/>
    <s v="Cash"/>
    <x v="177"/>
    <x v="12"/>
    <n v="4"/>
    <n v="3348"/>
    <n v="4104"/>
  </r>
  <r>
    <s v="ORD-1577"/>
    <d v="2025-12-19T00:00:00"/>
    <x v="2"/>
    <s v="Cape Town"/>
    <x v="2"/>
    <x v="9"/>
    <n v="19"/>
    <n v="85"/>
    <n v="0"/>
    <s v="Ayesha D."/>
    <s v="Retail"/>
    <s v="Card"/>
    <x v="151"/>
    <x v="12"/>
    <n v="4"/>
    <n v="53"/>
    <n v="608"/>
  </r>
  <r>
    <s v="ORD-1578"/>
    <d v="2025-12-19T00:00:00"/>
    <x v="5"/>
    <s v="Gqeberha"/>
    <x v="3"/>
    <x v="3"/>
    <n v="4"/>
    <n v="650"/>
    <n v="0.15"/>
    <s v="Ayesha D."/>
    <s v="Retail"/>
    <s v="Mobile Wallet"/>
    <x v="14"/>
    <x v="12"/>
    <n v="4"/>
    <n v="403"/>
    <n v="598"/>
  </r>
  <r>
    <s v="ORD-1579"/>
    <d v="2025-12-20T00:00:00"/>
    <x v="2"/>
    <s v="Cape Town"/>
    <x v="4"/>
    <x v="5"/>
    <n v="2"/>
    <n v="1900"/>
    <n v="0"/>
    <s v="Thabo M."/>
    <s v="Retail"/>
    <s v="Card"/>
    <x v="142"/>
    <x v="12"/>
    <n v="4"/>
    <n v="1178"/>
    <n v="1444"/>
  </r>
  <r>
    <s v="ORD-1580"/>
    <d v="2025-12-20T00:00:00"/>
    <x v="6"/>
    <s v="Polokwane"/>
    <x v="1"/>
    <x v="11"/>
    <n v="2"/>
    <n v="3100"/>
    <n v="0"/>
    <s v="Thabo M."/>
    <s v="Retail"/>
    <s v="Mobile Wallet"/>
    <x v="49"/>
    <x v="12"/>
    <n v="4"/>
    <n v="1922"/>
    <n v="2356"/>
  </r>
  <r>
    <s v="ORD-1581"/>
    <d v="2025-12-20T00:00:00"/>
    <x v="3"/>
    <s v="Pietermaritzburg"/>
    <x v="3"/>
    <x v="4"/>
    <n v="4"/>
    <n v="520"/>
    <n v="0"/>
    <s v="Naledi P."/>
    <s v="Retail"/>
    <s v="Card"/>
    <x v="57"/>
    <x v="12"/>
    <n v="4"/>
    <n v="322"/>
    <n v="792"/>
  </r>
  <r>
    <s v="ORD-1582"/>
    <d v="2025-12-20T00:00:00"/>
    <x v="3"/>
    <s v="Pietermaritzburg"/>
    <x v="2"/>
    <x v="9"/>
    <n v="25"/>
    <n v="85"/>
    <n v="0.05"/>
    <s v="Pieter V."/>
    <s v="Business"/>
    <s v="Card"/>
    <x v="248"/>
    <x v="12"/>
    <n v="4"/>
    <n v="53"/>
    <n v="693.75"/>
  </r>
  <r>
    <s v="ORD-1583"/>
    <d v="2025-12-21T00:00:00"/>
    <x v="4"/>
    <s v="Pretoria"/>
    <x v="2"/>
    <x v="2"/>
    <n v="7"/>
    <n v="120"/>
    <n v="0"/>
    <s v="Pieter V."/>
    <s v="Retail"/>
    <s v="Card"/>
    <x v="249"/>
    <x v="12"/>
    <n v="4"/>
    <n v="74"/>
    <n v="322"/>
  </r>
  <r>
    <s v="ORD-1584"/>
    <d v="2025-12-22T00:00:00"/>
    <x v="2"/>
    <s v="Cape Town"/>
    <x v="2"/>
    <x v="2"/>
    <n v="17"/>
    <n v="120"/>
    <n v="0"/>
    <s v="Naledi P."/>
    <s v="Retail"/>
    <s v="Cash"/>
    <x v="47"/>
    <x v="12"/>
    <n v="4"/>
    <n v="74"/>
    <n v="782"/>
  </r>
  <r>
    <s v="ORD-1585"/>
    <d v="2025-12-23T00:00:00"/>
    <x v="5"/>
    <s v="East London"/>
    <x v="3"/>
    <x v="13"/>
    <n v="2"/>
    <n v="180"/>
    <n v="0.05"/>
    <s v="Sipho N."/>
    <s v="Retail"/>
    <s v="Card"/>
    <x v="227"/>
    <x v="12"/>
    <n v="4"/>
    <n v="112"/>
    <n v="118"/>
  </r>
  <r>
    <s v="ORD-1586"/>
    <d v="2025-12-23T00:00:00"/>
    <x v="2"/>
    <s v="Cape Town"/>
    <x v="3"/>
    <x v="3"/>
    <n v="4"/>
    <n v="650"/>
    <n v="0.15"/>
    <s v="Naledi P."/>
    <s v="Retail"/>
    <s v="Card"/>
    <x v="14"/>
    <x v="12"/>
    <n v="4"/>
    <n v="403"/>
    <n v="598"/>
  </r>
  <r>
    <s v="ORD-1587"/>
    <d v="2025-12-23T00:00:00"/>
    <x v="5"/>
    <s v="Gqeberha"/>
    <x v="1"/>
    <x v="12"/>
    <n v="4"/>
    <n v="5400"/>
    <n v="0.05"/>
    <s v="Sipho N."/>
    <s v="Retail"/>
    <s v="EFT"/>
    <x v="80"/>
    <x v="12"/>
    <n v="4"/>
    <n v="3348"/>
    <n v="7128"/>
  </r>
  <r>
    <s v="ORD-1588"/>
    <d v="2025-12-23T00:00:00"/>
    <x v="2"/>
    <s v="Cape Town"/>
    <x v="4"/>
    <x v="5"/>
    <n v="4"/>
    <n v="1900"/>
    <n v="0"/>
    <s v="Sipho N."/>
    <s v="Retail"/>
    <s v="EFT"/>
    <x v="56"/>
    <x v="12"/>
    <n v="4"/>
    <n v="1178"/>
    <n v="2888"/>
  </r>
  <r>
    <s v="ORD-1589"/>
    <d v="2025-12-24T00:00:00"/>
    <x v="3"/>
    <s v="Durban"/>
    <x v="3"/>
    <x v="3"/>
    <n v="1"/>
    <n v="650"/>
    <n v="0.15"/>
    <s v="Naledi P."/>
    <s v="Retail"/>
    <s v="Card"/>
    <x v="30"/>
    <x v="12"/>
    <n v="4"/>
    <n v="403"/>
    <n v="149.5"/>
  </r>
  <r>
    <s v="ORD-1590"/>
    <d v="2025-12-24T00:00:00"/>
    <x v="3"/>
    <s v="Durban"/>
    <x v="2"/>
    <x v="2"/>
    <n v="29"/>
    <n v="120"/>
    <n v="0.1"/>
    <s v="Naledi P."/>
    <s v="Retail"/>
    <s v="EFT"/>
    <x v="250"/>
    <x v="12"/>
    <n v="4"/>
    <n v="74"/>
    <n v="986"/>
  </r>
  <r>
    <s v="ORD-1591"/>
    <d v="2025-12-25T00:00:00"/>
    <x v="2"/>
    <s v="Cape Town"/>
    <x v="4"/>
    <x v="14"/>
    <n v="2"/>
    <n v="2300"/>
    <n v="0"/>
    <s v="Lerato K."/>
    <s v="Business"/>
    <s v="Card"/>
    <x v="27"/>
    <x v="12"/>
    <n v="4"/>
    <n v="1426"/>
    <n v="1748"/>
  </r>
  <r>
    <s v="ORD-1592"/>
    <d v="2025-12-26T00:00:00"/>
    <x v="4"/>
    <s v="Sandton"/>
    <x v="4"/>
    <x v="8"/>
    <n v="4"/>
    <n v="3600"/>
    <n v="0"/>
    <s v="Ayesha D."/>
    <s v="Retail"/>
    <s v="EFT"/>
    <x v="65"/>
    <x v="12"/>
    <n v="4"/>
    <n v="2232"/>
    <n v="5472"/>
  </r>
  <r>
    <s v="ORD-1593"/>
    <d v="2025-12-26T00:00:00"/>
    <x v="4"/>
    <s v="Pretoria"/>
    <x v="1"/>
    <x v="10"/>
    <n v="1"/>
    <n v="1450"/>
    <n v="0.05"/>
    <s v="Naledi P."/>
    <s v="Business"/>
    <s v="Card"/>
    <x v="121"/>
    <x v="12"/>
    <n v="4"/>
    <n v="899"/>
    <n v="478.5"/>
  </r>
  <r>
    <s v="ORD-1594"/>
    <d v="2025-12-26T00:00:00"/>
    <x v="1"/>
    <s v="Bloemfontein"/>
    <x v="2"/>
    <x v="9"/>
    <n v="18"/>
    <n v="85"/>
    <n v="0.1"/>
    <s v="Ayesha D."/>
    <s v="Retail"/>
    <s v="Mobile Wallet"/>
    <x v="251"/>
    <x v="12"/>
    <n v="4"/>
    <n v="53"/>
    <n v="423"/>
  </r>
  <r>
    <s v="ORD-1595"/>
    <d v="2025-12-26T00:00:00"/>
    <x v="4"/>
    <s v="Sandton"/>
    <x v="4"/>
    <x v="5"/>
    <n v="1"/>
    <n v="1900"/>
    <n v="0"/>
    <s v="Pieter V."/>
    <s v="Retail"/>
    <s v="EFT"/>
    <x v="193"/>
    <x v="12"/>
    <n v="4"/>
    <n v="1178"/>
    <n v="722"/>
  </r>
  <r>
    <s v="ORD-1596"/>
    <d v="2025-12-27T00:00:00"/>
    <x v="4"/>
    <s v="Johannesburg"/>
    <x v="1"/>
    <x v="7"/>
    <n v="3"/>
    <n v="12500"/>
    <n v="0"/>
    <s v="Lerato K."/>
    <s v="Business"/>
    <s v="Cash"/>
    <x v="69"/>
    <x v="12"/>
    <n v="4"/>
    <n v="7750"/>
    <n v="14250"/>
  </r>
  <r>
    <s v="ORD-1597"/>
    <d v="2025-12-27T00:00:00"/>
    <x v="1"/>
    <s v="Bloemfontein"/>
    <x v="4"/>
    <x v="14"/>
    <n v="1"/>
    <n v="2300"/>
    <n v="0.05"/>
    <s v="Lerato K."/>
    <s v="Retail"/>
    <s v="Cash"/>
    <x v="237"/>
    <x v="12"/>
    <n v="4"/>
    <n v="1426"/>
    <n v="759"/>
  </r>
  <r>
    <s v="ORD-1598"/>
    <d v="2025-12-29T00:00:00"/>
    <x v="3"/>
    <s v="Durban"/>
    <x v="2"/>
    <x v="9"/>
    <n v="34"/>
    <n v="85"/>
    <n v="0.15"/>
    <s v="Pieter V."/>
    <s v="Retail"/>
    <s v="Card"/>
    <x v="252"/>
    <x v="12"/>
    <n v="4"/>
    <n v="53"/>
    <n v="654.5"/>
  </r>
  <r>
    <s v="ORD-1599"/>
    <d v="2025-12-29T00:00:00"/>
    <x v="3"/>
    <s v="Pietermaritzburg"/>
    <x v="1"/>
    <x v="1"/>
    <n v="3"/>
    <n v="8200"/>
    <n v="0.05"/>
    <s v="Thabo M."/>
    <s v="Business"/>
    <s v="Card"/>
    <x v="185"/>
    <x v="12"/>
    <n v="4"/>
    <n v="5084"/>
    <n v="8118"/>
  </r>
  <r>
    <s v="ORD-1600"/>
    <d v="2025-12-31T00:00:00"/>
    <x v="2"/>
    <s v="Cape Town"/>
    <x v="1"/>
    <x v="11"/>
    <n v="3"/>
    <n v="3100"/>
    <n v="0"/>
    <s v="Pieter V."/>
    <s v="Retail"/>
    <s v="EFT"/>
    <x v="38"/>
    <x v="12"/>
    <n v="4"/>
    <n v="1922"/>
    <n v="3534"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0" firstHeaderRow="1" firstDataRow="1" firstDataCol="1"/>
  <pivotFields count="17">
    <pivotField showAll="0"/>
    <pivotField showAll="0"/>
    <pivotField axis="axisRow" showAll="0" sortType="ascending">
      <items count="8">
        <item x="2"/>
        <item h="1" x="0"/>
        <item x="6"/>
        <item x="3"/>
        <item x="4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7">
    <i>
      <x v="5"/>
    </i>
    <i>
      <x v="6"/>
    </i>
    <i>
      <x v="2"/>
    </i>
    <i>
      <x/>
    </i>
    <i>
      <x v="3"/>
    </i>
    <i>
      <x v="4"/>
    </i>
    <i t="grand">
      <x/>
    </i>
  </rowItems>
  <colItems count="1">
    <i/>
  </colItems>
  <dataFields count="1">
    <dataField name="Sum of Revenue (R)" fld="12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xmlns:r="http://schemas.openxmlformats.org/officeDocument/2006/relationships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D3:E8" firstHeaderRow="1" firstDataRow="1" firstDataCol="1"/>
  <pivotFields count="17">
    <pivotField showAll="0"/>
    <pivotField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254">
        <item x="178"/>
        <item x="66"/>
        <item x="71"/>
        <item x="16"/>
        <item x="199"/>
        <item x="206"/>
        <item x="227"/>
        <item x="180"/>
        <item x="144"/>
        <item x="104"/>
        <item x="138"/>
        <item x="45"/>
        <item x="92"/>
        <item x="10"/>
        <item x="155"/>
        <item x="114"/>
        <item x="70"/>
        <item x="181"/>
        <item x="30"/>
        <item x="230"/>
        <item x="25"/>
        <item x="116"/>
        <item x="93"/>
        <item x="113"/>
        <item x="161"/>
        <item x="202"/>
        <item x="244"/>
        <item x="73"/>
        <item x="120"/>
        <item x="74"/>
        <item x="249"/>
        <item x="106"/>
        <item x="107"/>
        <item x="216"/>
        <item x="96"/>
        <item x="131"/>
        <item x="111"/>
        <item x="44"/>
        <item x="143"/>
        <item x="60"/>
        <item x="224"/>
        <item x="122"/>
        <item x="242"/>
        <item x="168"/>
        <item x="63"/>
        <item x="59"/>
        <item x="215"/>
        <item x="158"/>
        <item x="156"/>
        <item x="174"/>
        <item x="52"/>
        <item x="192"/>
        <item x="77"/>
        <item x="64"/>
        <item x="135"/>
        <item x="204"/>
        <item x="186"/>
        <item x="251"/>
        <item x="121"/>
        <item x="53"/>
        <item x="108"/>
        <item x="213"/>
        <item x="171"/>
        <item x="245"/>
        <item x="201"/>
        <item x="78"/>
        <item x="4"/>
        <item x="68"/>
        <item x="151"/>
        <item x="210"/>
        <item x="241"/>
        <item x="98"/>
        <item x="101"/>
        <item x="152"/>
        <item x="169"/>
        <item x="238"/>
        <item x="165"/>
        <item x="219"/>
        <item x="2"/>
        <item x="19"/>
        <item x="240"/>
        <item x="89"/>
        <item x="223"/>
        <item x="196"/>
        <item x="193"/>
        <item x="112"/>
        <item x="149"/>
        <item x="236"/>
        <item x="22"/>
        <item x="248"/>
        <item x="200"/>
        <item x="47"/>
        <item x="57"/>
        <item x="182"/>
        <item x="246"/>
        <item x="237"/>
        <item x="14"/>
        <item x="117"/>
        <item x="28"/>
        <item x="212"/>
        <item x="61"/>
        <item x="225"/>
        <item x="228"/>
        <item x="75"/>
        <item x="211"/>
        <item x="194"/>
        <item x="252"/>
        <item x="136"/>
        <item x="83"/>
        <item x="173"/>
        <item x="3"/>
        <item x="146"/>
        <item x="118"/>
        <item x="203"/>
        <item x="76"/>
        <item x="208"/>
        <item x="197"/>
        <item x="157"/>
        <item x="41"/>
        <item x="110"/>
        <item x="222"/>
        <item x="164"/>
        <item x="72"/>
        <item x="217"/>
        <item x="123"/>
        <item x="218"/>
        <item x="183"/>
        <item x="109"/>
        <item x="235"/>
        <item x="100"/>
        <item x="250"/>
        <item x="91"/>
        <item x="105"/>
        <item x="128"/>
        <item x="229"/>
        <item x="141"/>
        <item x="232"/>
        <item x="148"/>
        <item x="82"/>
        <item x="35"/>
        <item x="221"/>
        <item x="97"/>
        <item x="125"/>
        <item x="142"/>
        <item x="11"/>
        <item x="46"/>
        <item x="17"/>
        <item x="55"/>
        <item x="175"/>
        <item x="29"/>
        <item x="205"/>
        <item x="239"/>
        <item x="7"/>
        <item x="220"/>
        <item x="154"/>
        <item x="90"/>
        <item x="247"/>
        <item x="15"/>
        <item x="27"/>
        <item x="31"/>
        <item x="94"/>
        <item x="5"/>
        <item x="190"/>
        <item x="51"/>
        <item x="24"/>
        <item x="18"/>
        <item x="166"/>
        <item x="85"/>
        <item x="145"/>
        <item x="150"/>
        <item x="33"/>
        <item x="207"/>
        <item x="163"/>
        <item x="81"/>
        <item x="209"/>
        <item x="159"/>
        <item x="137"/>
        <item x="139"/>
        <item x="140"/>
        <item x="115"/>
        <item x="49"/>
        <item x="95"/>
        <item x="86"/>
        <item x="102"/>
        <item x="84"/>
        <item x="214"/>
        <item x="191"/>
        <item x="9"/>
        <item x="132"/>
        <item x="243"/>
        <item x="233"/>
        <item x="198"/>
        <item x="40"/>
        <item x="133"/>
        <item x="124"/>
        <item x="6"/>
        <item x="56"/>
        <item x="195"/>
        <item x="176"/>
        <item x="20"/>
        <item x="88"/>
        <item x="129"/>
        <item x="48"/>
        <item x="58"/>
        <item x="54"/>
        <item x="50"/>
        <item x="38"/>
        <item x="37"/>
        <item x="23"/>
        <item x="226"/>
        <item x="32"/>
        <item x="177"/>
        <item x="160"/>
        <item x="179"/>
        <item x="99"/>
        <item x="127"/>
        <item x="26"/>
        <item x="12"/>
        <item x="8"/>
        <item x="21"/>
        <item x="147"/>
        <item x="162"/>
        <item x="134"/>
        <item x="65"/>
        <item x="184"/>
        <item x="42"/>
        <item x="130"/>
        <item x="39"/>
        <item x="36"/>
        <item x="126"/>
        <item x="234"/>
        <item x="43"/>
        <item x="80"/>
        <item x="172"/>
        <item x="67"/>
        <item x="87"/>
        <item x="188"/>
        <item x="13"/>
        <item x="185"/>
        <item x="187"/>
        <item x="189"/>
        <item x="170"/>
        <item x="34"/>
        <item x="167"/>
        <item x="119"/>
        <item x="1"/>
        <item x="79"/>
        <item x="69"/>
        <item x="103"/>
        <item x="231"/>
        <item x="153"/>
        <item x="62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Sum of Revenue (R)" fld="12" baseField="0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4"/>
        </filterColumn>
      </autoFilter>
    </filter>
  </filters>
</pivotTableDefinition>
</file>

<file path=xl/pivotTables/pivotTable3.xml><?xml version="1.0" encoding="utf-8"?>
<pivotTableDefinition xmlns="http://schemas.openxmlformats.org/spreadsheetml/2006/main" xmlns:r="http://schemas.openxmlformats.org/officeDocument/2006/relationships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G3:H1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14">
        <item x="4"/>
        <item x="8"/>
        <item x="12"/>
        <item x="2"/>
        <item x="1"/>
        <item x="7"/>
        <item x="6"/>
        <item x="3"/>
        <item x="5"/>
        <item h="1" x="0"/>
        <item x="11"/>
        <item x="10"/>
        <item x="9"/>
        <item t="default"/>
      </items>
    </pivotField>
    <pivotField showAll="0"/>
    <pivotField showAll="0"/>
    <pivotField showAll="0"/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rowItems>
  <colItems count="1">
    <i/>
  </colItems>
  <dataFields count="1">
    <dataField name="Sum of Revenue (R)" fld="12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xmlns:r="http://schemas.openxmlformats.org/officeDocument/2006/relationships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J3:K9" firstHeaderRow="1" firstDataRow="1" firstDataCol="1"/>
  <pivotFields count="17">
    <pivotField showAll="0"/>
    <pivotField showAll="0"/>
    <pivotField showAll="0"/>
    <pivotField showAll="0"/>
    <pivotField showAll="0"/>
    <pivotField axis="axisRow" showAll="0" sortType="ascending">
      <items count="16">
        <item x="12"/>
        <item x="11"/>
        <item x="1"/>
        <item x="0"/>
        <item x="6"/>
        <item x="4"/>
        <item x="13"/>
        <item x="9"/>
        <item x="14"/>
        <item x="2"/>
        <item x="7"/>
        <item x="10"/>
        <item x="8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6">
    <i>
      <x v="12"/>
    </i>
    <i>
      <x v="1"/>
    </i>
    <i>
      <x/>
    </i>
    <i>
      <x v="2"/>
    </i>
    <i>
      <x v="10"/>
    </i>
    <i t="grand">
      <x/>
    </i>
  </rowItems>
  <colItems count="1">
    <i/>
  </colItems>
  <dataFields count="1">
    <dataField name="Sum of Revenue (R)" fld="12" baseField="0" baseItem="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301140"/>
        </filterColumn>
      </autoFilter>
    </filter>
  </filters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N$3:$O$15">
  <autoFilter ref="$N$3:$O$15"/>
  <tableColumns count="2">
    <tableColumn id="1" name="Month"/>
    <tableColumn id="2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SalesData" ref="A1:Q601" headerRowCount="1" totalsRowCount="0">
  <autoFilter ref="A1:Q601"/>
  <tableColumns count="17">
    <tableColumn id="1" name="Order ID"/>
    <tableColumn id="2" name="Order Date"/>
    <tableColumn id="3" name="Region"/>
    <tableColumn id="4" name="City"/>
    <tableColumn id="5" name="Category"/>
    <tableColumn id="6" name="Product"/>
    <tableColumn id="7" name="Quantity"/>
    <tableColumn id="8" name="Unit Price (R)"/>
    <tableColumn id="9" name="Discount"/>
    <tableColumn id="10" name="Sales Rep"/>
    <tableColumn id="11" name="Customer Type"/>
    <tableColumn id="12" name="Payment Method"/>
    <tableColumn id="13" name="Revenue (R)"/>
    <tableColumn id="14" name="Month"/>
    <tableColumn id="15" name="Quarter"/>
    <tableColumn id="16" name="Cost Price"/>
    <tableColumn id="17" name="Profit"/>
  </tableColumns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table" Target="../tables/table1.xml"/><Relationship  Id="rId3" Type="http://schemas.openxmlformats.org/officeDocument/2006/relationships/pivotTable" Target="../pivotTables/pivotTable1.xml"/><Relationship  Id="rId4" Type="http://schemas.openxmlformats.org/officeDocument/2006/relationships/pivotTable" Target="../pivotTables/pivotTable2.xml"/><Relationship  Id="rId5" Type="http://schemas.openxmlformats.org/officeDocument/2006/relationships/pivotTable" Target="../pivotTables/pivotTable3.xml"/><Relationship  Id="rId6" Type="http://schemas.openxmlformats.org/officeDocument/2006/relationships/pivotTable" Target="../pivotTables/pivotTable4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8.6796875" defaultRowHeight="14.25"/>
  <cols>
    <col customWidth="1" min="1" max="1" style="0" width="110"/>
  </cols>
  <sheetData>
    <row r="1" ht="16.5">
      <c r="A1" s="1" t="s">
        <v>0</v>
      </c>
    </row>
    <row r="2" ht="15">
      <c r="A2" s="2" t="s">
        <v>1</v>
      </c>
    </row>
    <row r="3" ht="15">
      <c r="A3" s="2"/>
    </row>
    <row r="4" ht="15">
      <c r="A4" s="3" t="s">
        <v>2</v>
      </c>
    </row>
    <row r="5" ht="15">
      <c r="A5" s="2" t="s">
        <v>3</v>
      </c>
    </row>
    <row r="6" ht="15">
      <c r="A6" s="2" t="s">
        <v>4</v>
      </c>
    </row>
    <row r="7" ht="15">
      <c r="A7" s="2"/>
    </row>
    <row r="8" ht="15">
      <c r="A8" s="3" t="s">
        <v>5</v>
      </c>
    </row>
    <row r="9" ht="15">
      <c r="A9" s="2" t="s">
        <v>6</v>
      </c>
    </row>
    <row r="10" ht="15">
      <c r="A10" s="2" t="s">
        <v>7</v>
      </c>
    </row>
    <row r="11" ht="15">
      <c r="A11" s="2" t="s">
        <v>8</v>
      </c>
    </row>
    <row r="12" ht="15">
      <c r="A12" s="2" t="s">
        <v>9</v>
      </c>
    </row>
    <row r="13" ht="15">
      <c r="A13" s="2" t="s">
        <v>10</v>
      </c>
    </row>
    <row r="14" ht="28.5">
      <c r="A14" s="2" t="s">
        <v>11</v>
      </c>
    </row>
    <row r="15" ht="28.5">
      <c r="A15" s="2" t="s">
        <v>12</v>
      </c>
    </row>
    <row r="16" ht="15">
      <c r="A16" s="2"/>
    </row>
    <row r="17" ht="28.5">
      <c r="A17" s="2" t="s">
        <v>13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2" zoomScale="100" workbookViewId="0">
      <selection activeCell="A1" activeCellId="0" sqref="A1"/>
    </sheetView>
  </sheetViews>
  <sheetFormatPr defaultRowHeight="14.25"/>
  <cols>
    <col bestFit="1" min="1" max="1" width="13.00390625"/>
    <col bestFit="1" min="2" max="2" width="17.7109375"/>
    <col bestFit="1" min="4" max="4" width="12.8515625"/>
    <col bestFit="1" min="5" max="5" width="17.7109375"/>
    <col bestFit="1" min="7" max="7" width="12.8515625"/>
    <col bestFit="1" min="8" max="8" width="17.7109375"/>
    <col bestFit="1" min="10" max="10" width="12.8515625"/>
    <col bestFit="1" min="11" max="11" width="17.7109375"/>
    <col bestFit="1" min="15" max="15" style="4" width="10.57421875"/>
  </cols>
  <sheetData>
    <row r="3">
      <c r="A3" t="s">
        <v>14</v>
      </c>
      <c r="B3" t="s">
        <v>15</v>
      </c>
      <c r="D3" t="s">
        <v>14</v>
      </c>
      <c r="E3" t="s">
        <v>15</v>
      </c>
      <c r="G3" t="s">
        <v>14</v>
      </c>
      <c r="H3" t="s">
        <v>15</v>
      </c>
      <c r="J3" t="s">
        <v>14</v>
      </c>
      <c r="K3" t="s">
        <v>15</v>
      </c>
      <c r="N3" t="s">
        <v>16</v>
      </c>
      <c r="O3" s="4" t="s">
        <v>17</v>
      </c>
    </row>
    <row r="4">
      <c r="A4" s="5" t="s">
        <v>18</v>
      </c>
      <c r="B4">
        <v>247367.5</v>
      </c>
      <c r="D4" s="5" t="s">
        <v>19</v>
      </c>
      <c r="E4">
        <v>155812</v>
      </c>
      <c r="G4" s="5" t="s">
        <v>20</v>
      </c>
      <c r="H4">
        <v>270559.5</v>
      </c>
      <c r="J4" s="5" t="s">
        <v>21</v>
      </c>
      <c r="K4">
        <v>301140</v>
      </c>
      <c r="N4" t="s">
        <v>22</v>
      </c>
      <c r="O4" s="4">
        <f t="shared" ref="O4:O9" si="0">VLOOKUP(N4,$G$4:$H$15,2,FALSE)</f>
        <v>365541.25</v>
      </c>
    </row>
    <row r="5">
      <c r="A5" s="5" t="s">
        <v>23</v>
      </c>
      <c r="B5">
        <v>408069.75</v>
      </c>
      <c r="D5" s="5" t="s">
        <v>24</v>
      </c>
      <c r="E5">
        <v>2845582.5</v>
      </c>
      <c r="G5" s="5" t="s">
        <v>25</v>
      </c>
      <c r="H5">
        <v>344199</v>
      </c>
      <c r="J5" s="5" t="s">
        <v>26</v>
      </c>
      <c r="K5">
        <v>344565</v>
      </c>
      <c r="N5" t="s">
        <v>27</v>
      </c>
      <c r="O5" s="4">
        <f t="shared" si="0"/>
        <v>439157</v>
      </c>
    </row>
    <row r="6">
      <c r="A6" s="5" t="s">
        <v>28</v>
      </c>
      <c r="B6">
        <v>452890</v>
      </c>
      <c r="D6" s="5" t="s">
        <v>29</v>
      </c>
      <c r="E6">
        <v>740660</v>
      </c>
      <c r="G6" s="5" t="s">
        <v>30</v>
      </c>
      <c r="H6">
        <v>306667.25</v>
      </c>
      <c r="J6" s="5" t="s">
        <v>31</v>
      </c>
      <c r="K6">
        <v>530820</v>
      </c>
      <c r="N6" t="s">
        <v>32</v>
      </c>
      <c r="O6" s="4">
        <f t="shared" si="0"/>
        <v>299311.75</v>
      </c>
    </row>
    <row r="7">
      <c r="A7" s="5" t="s">
        <v>33</v>
      </c>
      <c r="B7">
        <v>685785.25</v>
      </c>
      <c r="D7" s="5" t="s">
        <v>34</v>
      </c>
      <c r="E7">
        <v>347528</v>
      </c>
      <c r="G7" s="5" t="s">
        <v>27</v>
      </c>
      <c r="H7">
        <v>439157</v>
      </c>
      <c r="J7" s="5" t="s">
        <v>35</v>
      </c>
      <c r="K7">
        <v>806060</v>
      </c>
      <c r="N7" t="s">
        <v>20</v>
      </c>
      <c r="O7" s="4">
        <f t="shared" si="0"/>
        <v>270559.5</v>
      </c>
    </row>
    <row r="8">
      <c r="A8" s="5" t="s">
        <v>36</v>
      </c>
      <c r="B8">
        <v>805537</v>
      </c>
      <c r="D8" s="5" t="s">
        <v>37</v>
      </c>
      <c r="E8">
        <v>4089582.5</v>
      </c>
      <c r="G8" s="5" t="s">
        <v>22</v>
      </c>
      <c r="H8">
        <v>365541.25</v>
      </c>
      <c r="J8" s="5" t="s">
        <v>38</v>
      </c>
      <c r="K8">
        <v>1041250</v>
      </c>
      <c r="N8" t="s">
        <v>39</v>
      </c>
      <c r="O8" s="4">
        <f t="shared" si="0"/>
        <v>283627</v>
      </c>
    </row>
    <row r="9">
      <c r="A9" s="5" t="s">
        <v>40</v>
      </c>
      <c r="B9">
        <v>1489933</v>
      </c>
      <c r="G9" s="5" t="s">
        <v>41</v>
      </c>
      <c r="H9">
        <v>341656</v>
      </c>
      <c r="J9" s="5" t="s">
        <v>37</v>
      </c>
      <c r="K9">
        <v>3023835</v>
      </c>
      <c r="N9" t="s">
        <v>42</v>
      </c>
      <c r="O9" s="4">
        <f t="shared" si="0"/>
        <v>283461</v>
      </c>
    </row>
    <row r="10">
      <c r="A10" s="5" t="s">
        <v>37</v>
      </c>
      <c r="B10">
        <v>4089582.5</v>
      </c>
      <c r="G10" s="5" t="s">
        <v>42</v>
      </c>
      <c r="H10">
        <v>283461</v>
      </c>
      <c r="N10" t="s">
        <v>41</v>
      </c>
      <c r="O10" s="4">
        <f t="shared" ref="O10:O15" si="1">VLOOKUP(N10,$G$4:$H$15,2,FALSE)</f>
        <v>341656</v>
      </c>
    </row>
    <row r="11">
      <c r="G11" s="5" t="s">
        <v>32</v>
      </c>
      <c r="H11">
        <v>299311.75</v>
      </c>
      <c r="N11" t="s">
        <v>25</v>
      </c>
      <c r="O11" s="4">
        <f t="shared" si="1"/>
        <v>344199</v>
      </c>
    </row>
    <row r="12">
      <c r="G12" s="5" t="s">
        <v>39</v>
      </c>
      <c r="H12">
        <v>283627</v>
      </c>
      <c r="N12" t="s">
        <v>43</v>
      </c>
      <c r="O12" s="4">
        <f t="shared" si="1"/>
        <v>415177</v>
      </c>
    </row>
    <row r="13">
      <c r="G13" s="5" t="s">
        <v>44</v>
      </c>
      <c r="H13">
        <v>308315.5</v>
      </c>
      <c r="N13" t="s">
        <v>45</v>
      </c>
      <c r="O13" s="4">
        <f t="shared" si="1"/>
        <v>431910.25</v>
      </c>
    </row>
    <row r="14">
      <c r="G14" s="5" t="s">
        <v>45</v>
      </c>
      <c r="H14">
        <v>431910.25</v>
      </c>
      <c r="N14" t="s">
        <v>44</v>
      </c>
      <c r="O14" s="4">
        <f t="shared" si="1"/>
        <v>308315.5</v>
      </c>
    </row>
    <row r="15">
      <c r="G15" s="5" t="s">
        <v>43</v>
      </c>
      <c r="H15">
        <v>415177</v>
      </c>
      <c r="N15" t="s">
        <v>30</v>
      </c>
      <c r="O15" s="4">
        <f t="shared" si="1"/>
        <v>306667.25</v>
      </c>
    </row>
    <row r="16">
      <c r="G16" s="5" t="s">
        <v>37</v>
      </c>
      <c r="H16">
        <v>4089582.5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K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4.25"/>
  <cols>
    <col customWidth="1" min="1" max="1" style="0" width="11"/>
    <col bestFit="1" customWidth="1" min="2" max="2" style="0" width="12.7109375"/>
    <col customWidth="1" min="3" max="3" style="0" width="14"/>
    <col customWidth="1" min="4" max="4" style="0" width="16"/>
    <col customWidth="1" min="5" max="5" style="0" width="13"/>
    <col customWidth="1" min="6" max="6" style="0" width="14"/>
    <col customWidth="1" min="7" max="7" style="0" width="10"/>
    <col customWidth="1" min="8" max="8" style="0" width="14"/>
    <col customWidth="1" min="9" max="9" style="0" width="10"/>
    <col bestFit="1" customWidth="1" min="10" max="10" style="0" width="12.140625"/>
    <col bestFit="1" customWidth="1" min="11" max="11" style="0" width="16.7109375"/>
    <col bestFit="1" customWidth="1" min="12" max="12" style="0" width="18.00390625"/>
    <col customWidth="1" min="13" max="13" style="0" width="14"/>
    <col bestFit="1" min="15" max="15" style="0" width="9.8515625"/>
    <col customWidth="1" min="17" max="17" width="12.7109375"/>
  </cols>
  <sheetData>
    <row r="1" ht="15">
      <c r="A1" s="6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  <c r="N1" t="s">
        <v>16</v>
      </c>
      <c r="O1" t="s">
        <v>59</v>
      </c>
      <c r="P1" t="s">
        <v>60</v>
      </c>
      <c r="Q1" t="s">
        <v>61</v>
      </c>
    </row>
    <row r="2" ht="15">
      <c r="A2" s="7" t="s">
        <v>62</v>
      </c>
      <c r="B2" s="8">
        <v>45658</v>
      </c>
      <c r="C2" s="7" t="s">
        <v>18</v>
      </c>
      <c r="D2" s="7" t="s">
        <v>63</v>
      </c>
      <c r="E2" s="7" t="s">
        <v>24</v>
      </c>
      <c r="F2" s="7" t="s">
        <v>35</v>
      </c>
      <c r="G2" s="7">
        <v>4</v>
      </c>
      <c r="H2" s="9">
        <v>8200</v>
      </c>
      <c r="I2" s="10">
        <v>0</v>
      </c>
      <c r="J2" s="7" t="s">
        <v>64</v>
      </c>
      <c r="K2" s="7" t="s">
        <v>65</v>
      </c>
      <c r="L2" s="7" t="s">
        <v>66</v>
      </c>
      <c r="M2" s="11">
        <f t="shared" ref="M2:M9" si="2">G2*H2*(1-I2)</f>
        <v>32800</v>
      </c>
      <c r="N2" t="str">
        <f t="shared" ref="N2:N9" si="3">TEXT(B2,"mmm")</f>
        <v>Jan</v>
      </c>
      <c r="O2">
        <f t="shared" ref="O2:O9" si="4">ROUNDUP(MONTH(B2)/3,0)</f>
        <v>1</v>
      </c>
      <c r="P2">
        <f>VLOOKUP(F2,Products!A:C,3,FALSE)</f>
        <v>5084</v>
      </c>
      <c r="Q2" s="12">
        <f>M2-(G2*P2)</f>
        <v>12464</v>
      </c>
    </row>
    <row r="3" ht="15">
      <c r="A3" s="7" t="s">
        <v>67</v>
      </c>
      <c r="B3" s="8">
        <v>45658</v>
      </c>
      <c r="C3" s="7" t="s">
        <v>33</v>
      </c>
      <c r="D3" s="7" t="s">
        <v>68</v>
      </c>
      <c r="E3" s="7" t="s">
        <v>34</v>
      </c>
      <c r="F3" s="7" t="s">
        <v>69</v>
      </c>
      <c r="G3" s="7">
        <v>15</v>
      </c>
      <c r="H3" s="9">
        <v>120</v>
      </c>
      <c r="I3" s="10">
        <v>0</v>
      </c>
      <c r="J3" s="7" t="s">
        <v>70</v>
      </c>
      <c r="K3" s="7" t="s">
        <v>71</v>
      </c>
      <c r="L3" s="7" t="s">
        <v>66</v>
      </c>
      <c r="M3" s="11">
        <f t="shared" si="2"/>
        <v>1800</v>
      </c>
      <c r="N3" t="str">
        <f t="shared" si="3"/>
        <v>Jan</v>
      </c>
      <c r="O3">
        <f t="shared" si="4"/>
        <v>1</v>
      </c>
      <c r="P3">
        <f>VLOOKUP(F3,Products!A:C,3,FALSE)</f>
        <v>74</v>
      </c>
      <c r="Q3" s="12">
        <f t="shared" ref="Q3:Q9" si="5">M3-(G3*P3)</f>
        <v>690</v>
      </c>
    </row>
    <row r="4" ht="15">
      <c r="A4" s="7" t="s">
        <v>72</v>
      </c>
      <c r="B4" s="8">
        <v>45658</v>
      </c>
      <c r="C4" s="7" t="s">
        <v>18</v>
      </c>
      <c r="D4" s="7" t="s">
        <v>63</v>
      </c>
      <c r="E4" s="7" t="s">
        <v>19</v>
      </c>
      <c r="F4" s="7" t="s">
        <v>73</v>
      </c>
      <c r="G4" s="7">
        <v>4</v>
      </c>
      <c r="H4" s="9">
        <v>650</v>
      </c>
      <c r="I4" s="10">
        <v>0</v>
      </c>
      <c r="J4" s="7" t="s">
        <v>64</v>
      </c>
      <c r="K4" s="7" t="s">
        <v>71</v>
      </c>
      <c r="L4" s="7" t="s">
        <v>74</v>
      </c>
      <c r="M4" s="11">
        <f t="shared" si="2"/>
        <v>2600</v>
      </c>
      <c r="N4" t="str">
        <f t="shared" si="3"/>
        <v>Jan</v>
      </c>
      <c r="O4">
        <f t="shared" si="4"/>
        <v>1</v>
      </c>
      <c r="P4">
        <f>VLOOKUP(F4,Products!A:C,3,FALSE)</f>
        <v>403</v>
      </c>
      <c r="Q4" s="12">
        <f t="shared" si="5"/>
        <v>988</v>
      </c>
    </row>
    <row r="5" ht="15">
      <c r="A5" s="7" t="s">
        <v>75</v>
      </c>
      <c r="B5" s="8">
        <v>45659</v>
      </c>
      <c r="C5" s="7" t="s">
        <v>36</v>
      </c>
      <c r="D5" s="7" t="s">
        <v>76</v>
      </c>
      <c r="E5" s="7" t="s">
        <v>19</v>
      </c>
      <c r="F5" s="7" t="s">
        <v>77</v>
      </c>
      <c r="G5" s="7">
        <v>3</v>
      </c>
      <c r="H5" s="9">
        <v>520</v>
      </c>
      <c r="I5" s="10">
        <v>0</v>
      </c>
      <c r="J5" s="7" t="s">
        <v>70</v>
      </c>
      <c r="K5" s="7" t="s">
        <v>65</v>
      </c>
      <c r="L5" s="7" t="s">
        <v>78</v>
      </c>
      <c r="M5" s="11">
        <f t="shared" si="2"/>
        <v>1560</v>
      </c>
      <c r="N5" t="str">
        <f t="shared" si="3"/>
        <v>Jan</v>
      </c>
      <c r="O5">
        <f t="shared" si="4"/>
        <v>1</v>
      </c>
      <c r="P5">
        <f>VLOOKUP(F5,Products!A:C,3,FALSE)</f>
        <v>322</v>
      </c>
      <c r="Q5" s="12">
        <f t="shared" si="5"/>
        <v>594</v>
      </c>
    </row>
    <row r="6" ht="15">
      <c r="A6" s="7" t="s">
        <v>79</v>
      </c>
      <c r="B6" s="8">
        <v>45659</v>
      </c>
      <c r="C6" s="7" t="s">
        <v>40</v>
      </c>
      <c r="D6" s="7" t="s">
        <v>80</v>
      </c>
      <c r="E6" s="7" t="s">
        <v>29</v>
      </c>
      <c r="F6" s="7" t="s">
        <v>81</v>
      </c>
      <c r="G6" s="7">
        <v>3</v>
      </c>
      <c r="H6" s="9">
        <v>1900</v>
      </c>
      <c r="I6" s="10">
        <v>0.10000000000000001</v>
      </c>
      <c r="J6" s="7" t="s">
        <v>70</v>
      </c>
      <c r="K6" s="7" t="s">
        <v>71</v>
      </c>
      <c r="L6" s="7" t="s">
        <v>66</v>
      </c>
      <c r="M6" s="11">
        <f t="shared" si="2"/>
        <v>5130</v>
      </c>
      <c r="N6" t="str">
        <f t="shared" si="3"/>
        <v>Jan</v>
      </c>
      <c r="O6">
        <f t="shared" si="4"/>
        <v>1</v>
      </c>
      <c r="P6">
        <f>VLOOKUP(F6,Products!A:C,3,FALSE)</f>
        <v>1178</v>
      </c>
      <c r="Q6" s="12">
        <f t="shared" si="5"/>
        <v>1596</v>
      </c>
    </row>
    <row r="7" ht="15">
      <c r="A7" s="7" t="s">
        <v>82</v>
      </c>
      <c r="B7" s="8">
        <v>45659</v>
      </c>
      <c r="C7" s="7" t="s">
        <v>36</v>
      </c>
      <c r="D7" s="7" t="s">
        <v>76</v>
      </c>
      <c r="E7" s="7" t="s">
        <v>24</v>
      </c>
      <c r="F7" s="7" t="s">
        <v>35</v>
      </c>
      <c r="G7" s="7">
        <v>1</v>
      </c>
      <c r="H7" s="9">
        <v>8200</v>
      </c>
      <c r="I7" s="10">
        <v>0.10000000000000001</v>
      </c>
      <c r="J7" s="7" t="s">
        <v>83</v>
      </c>
      <c r="K7" s="7" t="s">
        <v>65</v>
      </c>
      <c r="L7" s="7" t="s">
        <v>74</v>
      </c>
      <c r="M7" s="11">
        <f t="shared" si="2"/>
        <v>7380</v>
      </c>
      <c r="N7" t="str">
        <f t="shared" si="3"/>
        <v>Jan</v>
      </c>
      <c r="O7">
        <f t="shared" si="4"/>
        <v>1</v>
      </c>
      <c r="P7">
        <f>VLOOKUP(F7,Products!A:C,3,FALSE)</f>
        <v>5084</v>
      </c>
      <c r="Q7" s="12">
        <f t="shared" si="5"/>
        <v>2296</v>
      </c>
    </row>
    <row r="8" ht="15">
      <c r="A8" s="7" t="s">
        <v>84</v>
      </c>
      <c r="B8" s="8">
        <v>45660</v>
      </c>
      <c r="C8" s="7" t="s">
        <v>40</v>
      </c>
      <c r="D8" s="7" t="s">
        <v>85</v>
      </c>
      <c r="E8" s="7" t="s">
        <v>34</v>
      </c>
      <c r="F8" s="7" t="s">
        <v>86</v>
      </c>
      <c r="G8" s="7">
        <v>24</v>
      </c>
      <c r="H8" s="9">
        <v>210</v>
      </c>
      <c r="I8" s="10">
        <v>0.14999999999999999</v>
      </c>
      <c r="J8" s="7" t="s">
        <v>70</v>
      </c>
      <c r="K8" s="7" t="s">
        <v>65</v>
      </c>
      <c r="L8" s="7" t="s">
        <v>78</v>
      </c>
      <c r="M8" s="11">
        <f t="shared" si="2"/>
        <v>4284</v>
      </c>
      <c r="N8" t="str">
        <f t="shared" si="3"/>
        <v>Jan</v>
      </c>
      <c r="O8">
        <f t="shared" si="4"/>
        <v>1</v>
      </c>
      <c r="P8">
        <f>VLOOKUP(F8,Products!A:C,3,FALSE)</f>
        <v>130</v>
      </c>
      <c r="Q8" s="12">
        <f t="shared" si="5"/>
        <v>1164</v>
      </c>
    </row>
    <row r="9" ht="15">
      <c r="A9" s="7" t="s">
        <v>87</v>
      </c>
      <c r="B9" s="8">
        <v>45661</v>
      </c>
      <c r="C9" s="7" t="s">
        <v>40</v>
      </c>
      <c r="D9" s="7" t="s">
        <v>85</v>
      </c>
      <c r="E9" s="7" t="s">
        <v>24</v>
      </c>
      <c r="F9" s="7" t="s">
        <v>38</v>
      </c>
      <c r="G9" s="7">
        <v>1</v>
      </c>
      <c r="H9" s="9">
        <v>12500</v>
      </c>
      <c r="I9" s="10">
        <v>0</v>
      </c>
      <c r="J9" s="7" t="s">
        <v>64</v>
      </c>
      <c r="K9" s="7" t="s">
        <v>71</v>
      </c>
      <c r="L9" s="7" t="s">
        <v>74</v>
      </c>
      <c r="M9" s="11">
        <f t="shared" si="2"/>
        <v>12500</v>
      </c>
      <c r="N9" t="str">
        <f t="shared" si="3"/>
        <v>Jan</v>
      </c>
      <c r="O9">
        <f t="shared" si="4"/>
        <v>1</v>
      </c>
      <c r="P9">
        <f>VLOOKUP(F9,Products!A:C,3,FALSE)</f>
        <v>7750</v>
      </c>
      <c r="Q9" s="12">
        <f t="shared" si="5"/>
        <v>4750</v>
      </c>
    </row>
    <row r="10" ht="15">
      <c r="A10" s="7" t="s">
        <v>88</v>
      </c>
      <c r="B10" s="8">
        <v>45661</v>
      </c>
      <c r="C10" s="7" t="s">
        <v>33</v>
      </c>
      <c r="D10" s="7" t="s">
        <v>68</v>
      </c>
      <c r="E10" s="7" t="s">
        <v>29</v>
      </c>
      <c r="F10" s="7" t="s">
        <v>21</v>
      </c>
      <c r="G10" s="7">
        <v>2</v>
      </c>
      <c r="H10" s="9">
        <v>3600</v>
      </c>
      <c r="I10" s="10">
        <v>5.0000000000000003e-002</v>
      </c>
      <c r="J10" s="7" t="s">
        <v>89</v>
      </c>
      <c r="K10" s="7" t="s">
        <v>65</v>
      </c>
      <c r="L10" s="7" t="s">
        <v>90</v>
      </c>
      <c r="M10" s="11">
        <f t="shared" ref="M10:M73" si="6">G10*H10*(1-I10)</f>
        <v>6840</v>
      </c>
      <c r="N10" t="str">
        <f t="shared" ref="N10:N73" si="7">TEXT(B10,"mmm")</f>
        <v>Jan</v>
      </c>
      <c r="O10">
        <f t="shared" ref="O10:O73" si="8">ROUNDUP(MONTH(B10)/3,0)</f>
        <v>1</v>
      </c>
      <c r="P10">
        <f>VLOOKUP(F10,Products!A:C,3,FALSE)</f>
        <v>2232</v>
      </c>
      <c r="Q10" s="12">
        <f t="shared" ref="Q10:Q73" si="9">M10-(G10*P10)</f>
        <v>2376</v>
      </c>
    </row>
    <row r="11" ht="15">
      <c r="A11" s="7" t="s">
        <v>91</v>
      </c>
      <c r="B11" s="8">
        <v>45662</v>
      </c>
      <c r="C11" s="7" t="s">
        <v>33</v>
      </c>
      <c r="D11" s="7" t="s">
        <v>68</v>
      </c>
      <c r="E11" s="7" t="s">
        <v>34</v>
      </c>
      <c r="F11" s="7" t="s">
        <v>92</v>
      </c>
      <c r="G11" s="7">
        <v>7</v>
      </c>
      <c r="H11" s="9">
        <v>85</v>
      </c>
      <c r="I11" s="10">
        <v>0.14999999999999999</v>
      </c>
      <c r="J11" s="7" t="s">
        <v>93</v>
      </c>
      <c r="K11" s="7" t="s">
        <v>65</v>
      </c>
      <c r="L11" s="7" t="s">
        <v>90</v>
      </c>
      <c r="M11" s="11">
        <f t="shared" si="6"/>
        <v>505.75</v>
      </c>
      <c r="N11" t="str">
        <f t="shared" si="7"/>
        <v>Jan</v>
      </c>
      <c r="O11">
        <f t="shared" si="8"/>
        <v>1</v>
      </c>
      <c r="P11">
        <f>VLOOKUP(F11,Products!A:C,3,FALSE)</f>
        <v>53</v>
      </c>
      <c r="Q11" s="12">
        <f t="shared" si="9"/>
        <v>134.75</v>
      </c>
    </row>
    <row r="12" ht="15">
      <c r="A12" s="7" t="s">
        <v>94</v>
      </c>
      <c r="B12" s="8">
        <v>45663</v>
      </c>
      <c r="C12" s="7" t="s">
        <v>23</v>
      </c>
      <c r="D12" s="7" t="s">
        <v>95</v>
      </c>
      <c r="E12" s="7" t="s">
        <v>24</v>
      </c>
      <c r="F12" s="7" t="s">
        <v>96</v>
      </c>
      <c r="G12" s="7">
        <v>3</v>
      </c>
      <c r="H12" s="9">
        <v>1450</v>
      </c>
      <c r="I12" s="10">
        <v>0.10000000000000001</v>
      </c>
      <c r="J12" s="7" t="s">
        <v>89</v>
      </c>
      <c r="K12" s="7" t="s">
        <v>65</v>
      </c>
      <c r="L12" s="7" t="s">
        <v>90</v>
      </c>
      <c r="M12" s="11">
        <f t="shared" si="6"/>
        <v>3915</v>
      </c>
      <c r="N12" t="str">
        <f t="shared" si="7"/>
        <v>Jan</v>
      </c>
      <c r="O12">
        <f t="shared" si="8"/>
        <v>1</v>
      </c>
      <c r="P12">
        <f>VLOOKUP(F12,Products!A:C,3,FALSE)</f>
        <v>899</v>
      </c>
      <c r="Q12" s="12">
        <f t="shared" si="9"/>
        <v>1218</v>
      </c>
    </row>
    <row r="13" ht="15">
      <c r="A13" s="7" t="s">
        <v>97</v>
      </c>
      <c r="B13" s="8">
        <v>45664</v>
      </c>
      <c r="C13" s="7" t="s">
        <v>40</v>
      </c>
      <c r="D13" s="7" t="s">
        <v>98</v>
      </c>
      <c r="E13" s="7" t="s">
        <v>24</v>
      </c>
      <c r="F13" s="7" t="s">
        <v>26</v>
      </c>
      <c r="G13" s="7">
        <v>4</v>
      </c>
      <c r="H13" s="9">
        <v>3100</v>
      </c>
      <c r="I13" s="10">
        <v>0</v>
      </c>
      <c r="J13" s="7" t="s">
        <v>89</v>
      </c>
      <c r="K13" s="7" t="s">
        <v>65</v>
      </c>
      <c r="L13" s="7" t="s">
        <v>78</v>
      </c>
      <c r="M13" s="11">
        <f t="shared" si="6"/>
        <v>12400</v>
      </c>
      <c r="N13" t="str">
        <f t="shared" si="7"/>
        <v>Jan</v>
      </c>
      <c r="O13">
        <f t="shared" si="8"/>
        <v>1</v>
      </c>
      <c r="P13">
        <f>VLOOKUP(F13,Products!A:C,3,FALSE)</f>
        <v>1922</v>
      </c>
      <c r="Q13" s="12">
        <f t="shared" si="9"/>
        <v>4712</v>
      </c>
    </row>
    <row r="14" ht="15">
      <c r="A14" s="7" t="s">
        <v>99</v>
      </c>
      <c r="B14" s="8">
        <v>45666</v>
      </c>
      <c r="C14" s="7" t="s">
        <v>23</v>
      </c>
      <c r="D14" s="7" t="s">
        <v>95</v>
      </c>
      <c r="E14" s="7" t="s">
        <v>24</v>
      </c>
      <c r="F14" s="7" t="s">
        <v>38</v>
      </c>
      <c r="G14" s="7">
        <v>2</v>
      </c>
      <c r="H14" s="9">
        <v>12500</v>
      </c>
      <c r="I14" s="10">
        <v>0.10000000000000001</v>
      </c>
      <c r="J14" s="7" t="s">
        <v>64</v>
      </c>
      <c r="K14" s="7" t="s">
        <v>65</v>
      </c>
      <c r="L14" s="7" t="s">
        <v>74</v>
      </c>
      <c r="M14" s="11">
        <f t="shared" si="6"/>
        <v>22500</v>
      </c>
      <c r="N14" t="str">
        <f t="shared" si="7"/>
        <v>Jan</v>
      </c>
      <c r="O14">
        <f t="shared" si="8"/>
        <v>1</v>
      </c>
      <c r="P14">
        <f>VLOOKUP(F14,Products!A:C,3,FALSE)</f>
        <v>7750</v>
      </c>
      <c r="Q14" s="12">
        <f t="shared" si="9"/>
        <v>7000</v>
      </c>
    </row>
    <row r="15" ht="15">
      <c r="A15" s="7" t="s">
        <v>100</v>
      </c>
      <c r="B15" s="8">
        <v>45668</v>
      </c>
      <c r="C15" s="7" t="s">
        <v>40</v>
      </c>
      <c r="D15" s="7" t="s">
        <v>98</v>
      </c>
      <c r="E15" s="7" t="s">
        <v>34</v>
      </c>
      <c r="F15" s="7" t="s">
        <v>92</v>
      </c>
      <c r="G15" s="7">
        <v>26</v>
      </c>
      <c r="H15" s="9">
        <v>85</v>
      </c>
      <c r="I15" s="10">
        <v>0</v>
      </c>
      <c r="J15" s="7" t="s">
        <v>83</v>
      </c>
      <c r="K15" s="7" t="s">
        <v>65</v>
      </c>
      <c r="L15" s="7" t="s">
        <v>74</v>
      </c>
      <c r="M15" s="11">
        <f t="shared" si="6"/>
        <v>2210</v>
      </c>
      <c r="N15" t="str">
        <f t="shared" si="7"/>
        <v>Jan</v>
      </c>
      <c r="O15">
        <f t="shared" si="8"/>
        <v>1</v>
      </c>
      <c r="P15">
        <f>VLOOKUP(F15,Products!A:C,3,FALSE)</f>
        <v>53</v>
      </c>
      <c r="Q15" s="12">
        <f t="shared" si="9"/>
        <v>832</v>
      </c>
    </row>
    <row r="16" ht="15">
      <c r="A16" s="7" t="s">
        <v>101</v>
      </c>
      <c r="B16" s="8">
        <v>45668</v>
      </c>
      <c r="C16" s="7" t="s">
        <v>33</v>
      </c>
      <c r="D16" s="7" t="s">
        <v>102</v>
      </c>
      <c r="E16" s="7" t="s">
        <v>24</v>
      </c>
      <c r="F16" s="7" t="s">
        <v>31</v>
      </c>
      <c r="G16" s="7">
        <v>1</v>
      </c>
      <c r="H16" s="9">
        <v>5400</v>
      </c>
      <c r="I16" s="10">
        <v>0.14999999999999999</v>
      </c>
      <c r="J16" s="7" t="s">
        <v>103</v>
      </c>
      <c r="K16" s="7" t="s">
        <v>65</v>
      </c>
      <c r="L16" s="7" t="s">
        <v>66</v>
      </c>
      <c r="M16" s="11">
        <f t="shared" si="6"/>
        <v>4590</v>
      </c>
      <c r="N16" t="str">
        <f t="shared" si="7"/>
        <v>Jan</v>
      </c>
      <c r="O16">
        <f t="shared" si="8"/>
        <v>1</v>
      </c>
      <c r="P16">
        <f>VLOOKUP(F16,Products!A:C,3,FALSE)</f>
        <v>3348</v>
      </c>
      <c r="Q16" s="12">
        <f t="shared" si="9"/>
        <v>1242</v>
      </c>
    </row>
    <row r="17" ht="15">
      <c r="A17" s="7" t="s">
        <v>104</v>
      </c>
      <c r="B17" s="8">
        <v>45668</v>
      </c>
      <c r="C17" s="7" t="s">
        <v>23</v>
      </c>
      <c r="D17" s="7" t="s">
        <v>105</v>
      </c>
      <c r="E17" s="7" t="s">
        <v>19</v>
      </c>
      <c r="F17" s="7" t="s">
        <v>106</v>
      </c>
      <c r="G17" s="7">
        <v>1</v>
      </c>
      <c r="H17" s="9">
        <v>180</v>
      </c>
      <c r="I17" s="10">
        <v>0</v>
      </c>
      <c r="J17" s="7" t="s">
        <v>93</v>
      </c>
      <c r="K17" s="7" t="s">
        <v>65</v>
      </c>
      <c r="L17" s="7" t="s">
        <v>90</v>
      </c>
      <c r="M17" s="11">
        <f t="shared" si="6"/>
        <v>180</v>
      </c>
      <c r="N17" t="str">
        <f t="shared" si="7"/>
        <v>Jan</v>
      </c>
      <c r="O17">
        <f t="shared" si="8"/>
        <v>1</v>
      </c>
      <c r="P17">
        <f>VLOOKUP(F17,Products!A:C,3,FALSE)</f>
        <v>112</v>
      </c>
      <c r="Q17" s="12">
        <f t="shared" si="9"/>
        <v>68</v>
      </c>
    </row>
    <row r="18" ht="15">
      <c r="A18" s="7" t="s">
        <v>107</v>
      </c>
      <c r="B18" s="8">
        <v>45670</v>
      </c>
      <c r="C18" s="7" t="s">
        <v>40</v>
      </c>
      <c r="D18" s="7" t="s">
        <v>98</v>
      </c>
      <c r="E18" s="7" t="s">
        <v>34</v>
      </c>
      <c r="F18" s="7" t="s">
        <v>69</v>
      </c>
      <c r="G18" s="7">
        <v>35</v>
      </c>
      <c r="H18" s="9">
        <v>120</v>
      </c>
      <c r="I18" s="10">
        <v>5.0000000000000003e-002</v>
      </c>
      <c r="J18" s="7" t="s">
        <v>93</v>
      </c>
      <c r="K18" s="7" t="s">
        <v>65</v>
      </c>
      <c r="L18" s="7" t="s">
        <v>78</v>
      </c>
      <c r="M18" s="11">
        <f t="shared" si="6"/>
        <v>3990</v>
      </c>
      <c r="N18" t="str">
        <f t="shared" si="7"/>
        <v>Jan</v>
      </c>
      <c r="O18">
        <f t="shared" si="8"/>
        <v>1</v>
      </c>
      <c r="P18">
        <f>VLOOKUP(F18,Products!A:C,3,FALSE)</f>
        <v>74</v>
      </c>
      <c r="Q18" s="12">
        <f t="shared" si="9"/>
        <v>1400</v>
      </c>
    </row>
    <row r="19" ht="15">
      <c r="A19" s="7" t="s">
        <v>108</v>
      </c>
      <c r="B19" s="8">
        <v>45671</v>
      </c>
      <c r="C19" s="7" t="s">
        <v>33</v>
      </c>
      <c r="D19" s="7" t="s">
        <v>102</v>
      </c>
      <c r="E19" s="7" t="s">
        <v>29</v>
      </c>
      <c r="F19" s="7" t="s">
        <v>81</v>
      </c>
      <c r="G19" s="7">
        <v>3</v>
      </c>
      <c r="H19" s="9">
        <v>1900</v>
      </c>
      <c r="I19" s="10">
        <v>5.0000000000000003e-002</v>
      </c>
      <c r="J19" s="7" t="s">
        <v>89</v>
      </c>
      <c r="K19" s="7" t="s">
        <v>71</v>
      </c>
      <c r="L19" s="7" t="s">
        <v>78</v>
      </c>
      <c r="M19" s="11">
        <f t="shared" si="6"/>
        <v>5415</v>
      </c>
      <c r="N19" t="str">
        <f t="shared" si="7"/>
        <v>Jan</v>
      </c>
      <c r="O19">
        <f t="shared" si="8"/>
        <v>1</v>
      </c>
      <c r="P19">
        <f>VLOOKUP(F19,Products!A:C,3,FALSE)</f>
        <v>1178</v>
      </c>
      <c r="Q19" s="12">
        <f t="shared" si="9"/>
        <v>1881</v>
      </c>
    </row>
    <row r="20" ht="15">
      <c r="A20" s="7" t="s">
        <v>109</v>
      </c>
      <c r="B20" s="8">
        <v>45671</v>
      </c>
      <c r="C20" s="7" t="s">
        <v>23</v>
      </c>
      <c r="D20" s="7" t="s">
        <v>105</v>
      </c>
      <c r="E20" s="7" t="s">
        <v>29</v>
      </c>
      <c r="F20" s="7" t="s">
        <v>81</v>
      </c>
      <c r="G20" s="7">
        <v>1</v>
      </c>
      <c r="H20" s="9">
        <v>1900</v>
      </c>
      <c r="I20" s="10">
        <v>5.0000000000000003e-002</v>
      </c>
      <c r="J20" s="7" t="s">
        <v>89</v>
      </c>
      <c r="K20" s="7" t="s">
        <v>71</v>
      </c>
      <c r="L20" s="7" t="s">
        <v>78</v>
      </c>
      <c r="M20" s="11">
        <f t="shared" si="6"/>
        <v>1805</v>
      </c>
      <c r="N20" t="str">
        <f t="shared" si="7"/>
        <v>Jan</v>
      </c>
      <c r="O20">
        <f t="shared" si="8"/>
        <v>1</v>
      </c>
      <c r="P20">
        <f>VLOOKUP(F20,Products!A:C,3,FALSE)</f>
        <v>1178</v>
      </c>
      <c r="Q20" s="12">
        <f t="shared" si="9"/>
        <v>627</v>
      </c>
    </row>
    <row r="21" ht="15">
      <c r="A21" s="7" t="s">
        <v>110</v>
      </c>
      <c r="B21" s="8">
        <v>45672</v>
      </c>
      <c r="C21" s="7" t="s">
        <v>40</v>
      </c>
      <c r="D21" s="7" t="s">
        <v>98</v>
      </c>
      <c r="E21" s="7" t="s">
        <v>24</v>
      </c>
      <c r="F21" s="7" t="s">
        <v>35</v>
      </c>
      <c r="G21" s="7">
        <v>1</v>
      </c>
      <c r="H21" s="9">
        <v>8200</v>
      </c>
      <c r="I21" s="10">
        <v>0</v>
      </c>
      <c r="J21" s="7" t="s">
        <v>93</v>
      </c>
      <c r="K21" s="7" t="s">
        <v>65</v>
      </c>
      <c r="L21" s="7" t="s">
        <v>66</v>
      </c>
      <c r="M21" s="11">
        <f t="shared" si="6"/>
        <v>8200</v>
      </c>
      <c r="N21" t="str">
        <f t="shared" si="7"/>
        <v>Jan</v>
      </c>
      <c r="O21">
        <f t="shared" si="8"/>
        <v>1</v>
      </c>
      <c r="P21">
        <f>VLOOKUP(F21,Products!A:C,3,FALSE)</f>
        <v>5084</v>
      </c>
      <c r="Q21" s="12">
        <f t="shared" si="9"/>
        <v>3116</v>
      </c>
    </row>
    <row r="22" ht="15">
      <c r="A22" s="7" t="s">
        <v>111</v>
      </c>
      <c r="B22" s="8">
        <v>45672</v>
      </c>
      <c r="C22" s="7" t="s">
        <v>28</v>
      </c>
      <c r="D22" s="7" t="s">
        <v>112</v>
      </c>
      <c r="E22" s="7" t="s">
        <v>29</v>
      </c>
      <c r="F22" s="7" t="s">
        <v>21</v>
      </c>
      <c r="G22" s="7">
        <v>4</v>
      </c>
      <c r="H22" s="9">
        <v>3600</v>
      </c>
      <c r="I22" s="10">
        <v>0.10000000000000001</v>
      </c>
      <c r="J22" s="7" t="s">
        <v>83</v>
      </c>
      <c r="K22" s="7" t="s">
        <v>65</v>
      </c>
      <c r="L22" s="7" t="s">
        <v>78</v>
      </c>
      <c r="M22" s="11">
        <f t="shared" si="6"/>
        <v>12960</v>
      </c>
      <c r="N22" t="str">
        <f t="shared" si="7"/>
        <v>Jan</v>
      </c>
      <c r="O22">
        <f t="shared" si="8"/>
        <v>1</v>
      </c>
      <c r="P22">
        <f>VLOOKUP(F22,Products!A:C,3,FALSE)</f>
        <v>2232</v>
      </c>
      <c r="Q22" s="12">
        <f t="shared" si="9"/>
        <v>4032</v>
      </c>
    </row>
    <row r="23" ht="15">
      <c r="A23" s="7" t="s">
        <v>113</v>
      </c>
      <c r="B23" s="8">
        <v>45674</v>
      </c>
      <c r="C23" s="7" t="s">
        <v>36</v>
      </c>
      <c r="D23" s="7" t="s">
        <v>114</v>
      </c>
      <c r="E23" s="7" t="s">
        <v>19</v>
      </c>
      <c r="F23" s="7" t="s">
        <v>77</v>
      </c>
      <c r="G23" s="7">
        <v>4</v>
      </c>
      <c r="H23" s="9">
        <v>520</v>
      </c>
      <c r="I23" s="10">
        <v>5.0000000000000003e-002</v>
      </c>
      <c r="J23" s="7" t="s">
        <v>64</v>
      </c>
      <c r="K23" s="7" t="s">
        <v>65</v>
      </c>
      <c r="L23" s="7" t="s">
        <v>90</v>
      </c>
      <c r="M23" s="11">
        <f t="shared" si="6"/>
        <v>1976</v>
      </c>
      <c r="N23" t="str">
        <f t="shared" si="7"/>
        <v>Jan</v>
      </c>
      <c r="O23">
        <f t="shared" si="8"/>
        <v>1</v>
      </c>
      <c r="P23">
        <f>VLOOKUP(F23,Products!A:C,3,FALSE)</f>
        <v>322</v>
      </c>
      <c r="Q23" s="12">
        <f t="shared" si="9"/>
        <v>688</v>
      </c>
    </row>
    <row r="24" ht="15">
      <c r="A24" s="7" t="s">
        <v>115</v>
      </c>
      <c r="B24" s="8">
        <v>45674</v>
      </c>
      <c r="C24" s="7" t="s">
        <v>33</v>
      </c>
      <c r="D24" s="7" t="s">
        <v>102</v>
      </c>
      <c r="E24" s="7" t="s">
        <v>29</v>
      </c>
      <c r="F24" s="7" t="s">
        <v>21</v>
      </c>
      <c r="G24" s="7">
        <v>3</v>
      </c>
      <c r="H24" s="9">
        <v>3600</v>
      </c>
      <c r="I24" s="10">
        <v>5.0000000000000003e-002</v>
      </c>
      <c r="J24" s="7" t="s">
        <v>93</v>
      </c>
      <c r="K24" s="7" t="s">
        <v>71</v>
      </c>
      <c r="L24" s="7" t="s">
        <v>66</v>
      </c>
      <c r="M24" s="11">
        <f t="shared" si="6"/>
        <v>10260</v>
      </c>
      <c r="N24" t="str">
        <f t="shared" si="7"/>
        <v>Jan</v>
      </c>
      <c r="O24">
        <f t="shared" si="8"/>
        <v>1</v>
      </c>
      <c r="P24">
        <f>VLOOKUP(F24,Products!A:C,3,FALSE)</f>
        <v>2232</v>
      </c>
      <c r="Q24" s="12">
        <f t="shared" si="9"/>
        <v>3564</v>
      </c>
    </row>
    <row r="25" ht="15">
      <c r="A25" s="7" t="s">
        <v>116</v>
      </c>
      <c r="B25" s="8">
        <v>45676</v>
      </c>
      <c r="C25" s="7" t="s">
        <v>36</v>
      </c>
      <c r="D25" s="7" t="s">
        <v>76</v>
      </c>
      <c r="E25" s="7" t="s">
        <v>24</v>
      </c>
      <c r="F25" s="7" t="s">
        <v>31</v>
      </c>
      <c r="G25" s="7">
        <v>1</v>
      </c>
      <c r="H25" s="9">
        <v>5400</v>
      </c>
      <c r="I25" s="10">
        <v>0</v>
      </c>
      <c r="J25" s="7" t="s">
        <v>103</v>
      </c>
      <c r="K25" s="7" t="s">
        <v>65</v>
      </c>
      <c r="L25" s="7" t="s">
        <v>78</v>
      </c>
      <c r="M25" s="11">
        <f t="shared" si="6"/>
        <v>5400</v>
      </c>
      <c r="N25" t="str">
        <f t="shared" si="7"/>
        <v>Jan</v>
      </c>
      <c r="O25">
        <f t="shared" si="8"/>
        <v>1</v>
      </c>
      <c r="P25">
        <f>VLOOKUP(F25,Products!A:C,3,FALSE)</f>
        <v>3348</v>
      </c>
      <c r="Q25" s="12">
        <f t="shared" si="9"/>
        <v>2052</v>
      </c>
    </row>
    <row r="26" ht="15">
      <c r="A26" s="7" t="s">
        <v>117</v>
      </c>
      <c r="B26" s="8">
        <v>45676</v>
      </c>
      <c r="C26" s="7" t="s">
        <v>36</v>
      </c>
      <c r="D26" s="7" t="s">
        <v>114</v>
      </c>
      <c r="E26" s="7" t="s">
        <v>19</v>
      </c>
      <c r="F26" s="7" t="s">
        <v>73</v>
      </c>
      <c r="G26" s="7">
        <v>1</v>
      </c>
      <c r="H26" s="9">
        <v>650</v>
      </c>
      <c r="I26" s="10">
        <v>0.10000000000000001</v>
      </c>
      <c r="J26" s="7" t="s">
        <v>83</v>
      </c>
      <c r="K26" s="7" t="s">
        <v>65</v>
      </c>
      <c r="L26" s="7" t="s">
        <v>78</v>
      </c>
      <c r="M26" s="11">
        <f t="shared" si="6"/>
        <v>585</v>
      </c>
      <c r="N26" t="str">
        <f t="shared" si="7"/>
        <v>Jan</v>
      </c>
      <c r="O26">
        <f t="shared" si="8"/>
        <v>1</v>
      </c>
      <c r="P26">
        <f>VLOOKUP(F26,Products!A:C,3,FALSE)</f>
        <v>403</v>
      </c>
      <c r="Q26" s="12">
        <f t="shared" si="9"/>
        <v>182</v>
      </c>
    </row>
    <row r="27" ht="15">
      <c r="A27" s="7" t="s">
        <v>118</v>
      </c>
      <c r="B27" s="8">
        <v>45677</v>
      </c>
      <c r="C27" s="7" t="s">
        <v>40</v>
      </c>
      <c r="D27" s="7" t="s">
        <v>80</v>
      </c>
      <c r="E27" s="7" t="s">
        <v>29</v>
      </c>
      <c r="F27" s="7" t="s">
        <v>21</v>
      </c>
      <c r="G27" s="7">
        <v>4</v>
      </c>
      <c r="H27" s="9">
        <v>3600</v>
      </c>
      <c r="I27" s="10">
        <v>0.14999999999999999</v>
      </c>
      <c r="J27" s="7" t="s">
        <v>103</v>
      </c>
      <c r="K27" s="7" t="s">
        <v>71</v>
      </c>
      <c r="L27" s="7" t="s">
        <v>66</v>
      </c>
      <c r="M27" s="11">
        <f t="shared" si="6"/>
        <v>12240</v>
      </c>
      <c r="N27" t="str">
        <f t="shared" si="7"/>
        <v>Jan</v>
      </c>
      <c r="O27">
        <f t="shared" si="8"/>
        <v>1</v>
      </c>
      <c r="P27">
        <f>VLOOKUP(F27,Products!A:C,3,FALSE)</f>
        <v>2232</v>
      </c>
      <c r="Q27" s="12">
        <f t="shared" si="9"/>
        <v>3312</v>
      </c>
    </row>
    <row r="28" ht="15">
      <c r="A28" s="7" t="s">
        <v>119</v>
      </c>
      <c r="B28" s="8">
        <v>45678</v>
      </c>
      <c r="C28" s="7" t="s">
        <v>40</v>
      </c>
      <c r="D28" s="7" t="s">
        <v>80</v>
      </c>
      <c r="E28" s="7" t="s">
        <v>29</v>
      </c>
      <c r="F28" s="7" t="s">
        <v>120</v>
      </c>
      <c r="G28" s="7">
        <v>2</v>
      </c>
      <c r="H28" s="9">
        <v>2300</v>
      </c>
      <c r="I28" s="10">
        <v>0</v>
      </c>
      <c r="J28" s="7" t="s">
        <v>89</v>
      </c>
      <c r="K28" s="7" t="s">
        <v>65</v>
      </c>
      <c r="L28" s="7" t="s">
        <v>78</v>
      </c>
      <c r="M28" s="11">
        <f t="shared" si="6"/>
        <v>4600</v>
      </c>
      <c r="N28" t="str">
        <f t="shared" si="7"/>
        <v>Jan</v>
      </c>
      <c r="O28">
        <f t="shared" si="8"/>
        <v>1</v>
      </c>
      <c r="P28">
        <f>VLOOKUP(F28,Products!A:C,3,FALSE)</f>
        <v>1426</v>
      </c>
      <c r="Q28" s="12">
        <f t="shared" si="9"/>
        <v>1748</v>
      </c>
    </row>
    <row r="29" ht="15">
      <c r="A29" s="7" t="s">
        <v>121</v>
      </c>
      <c r="B29" s="8">
        <v>45678</v>
      </c>
      <c r="C29" s="7" t="s">
        <v>23</v>
      </c>
      <c r="D29" s="7" t="s">
        <v>105</v>
      </c>
      <c r="E29" s="7" t="s">
        <v>29</v>
      </c>
      <c r="F29" s="7" t="s">
        <v>120</v>
      </c>
      <c r="G29" s="7">
        <v>1</v>
      </c>
      <c r="H29" s="9">
        <v>2300</v>
      </c>
      <c r="I29" s="10">
        <v>0</v>
      </c>
      <c r="J29" s="7" t="s">
        <v>83</v>
      </c>
      <c r="K29" s="7" t="s">
        <v>65</v>
      </c>
      <c r="L29" s="7" t="s">
        <v>90</v>
      </c>
      <c r="M29" s="11">
        <f t="shared" si="6"/>
        <v>2300</v>
      </c>
      <c r="N29" t="str">
        <f t="shared" si="7"/>
        <v>Jan</v>
      </c>
      <c r="O29">
        <f t="shared" si="8"/>
        <v>1</v>
      </c>
      <c r="P29">
        <f>VLOOKUP(F29,Products!A:C,3,FALSE)</f>
        <v>1426</v>
      </c>
      <c r="Q29" s="12">
        <f t="shared" si="9"/>
        <v>874</v>
      </c>
    </row>
    <row r="30" ht="15">
      <c r="A30" s="7" t="s">
        <v>122</v>
      </c>
      <c r="B30" s="8">
        <v>45678</v>
      </c>
      <c r="C30" s="7" t="s">
        <v>33</v>
      </c>
      <c r="D30" s="7" t="s">
        <v>102</v>
      </c>
      <c r="E30" s="7" t="s">
        <v>19</v>
      </c>
      <c r="F30" s="7" t="s">
        <v>77</v>
      </c>
      <c r="G30" s="7">
        <v>3</v>
      </c>
      <c r="H30" s="9">
        <v>520</v>
      </c>
      <c r="I30" s="10">
        <v>0</v>
      </c>
      <c r="J30" s="7" t="s">
        <v>64</v>
      </c>
      <c r="K30" s="7" t="s">
        <v>65</v>
      </c>
      <c r="L30" s="7" t="s">
        <v>66</v>
      </c>
      <c r="M30" s="11">
        <f t="shared" si="6"/>
        <v>1560</v>
      </c>
      <c r="N30" t="str">
        <f t="shared" si="7"/>
        <v>Jan</v>
      </c>
      <c r="O30">
        <f t="shared" si="8"/>
        <v>1</v>
      </c>
      <c r="P30">
        <f>VLOOKUP(F30,Products!A:C,3,FALSE)</f>
        <v>322</v>
      </c>
      <c r="Q30" s="12">
        <f t="shared" si="9"/>
        <v>594</v>
      </c>
    </row>
    <row r="31" ht="15">
      <c r="A31" s="7" t="s">
        <v>123</v>
      </c>
      <c r="B31" s="8">
        <v>45678</v>
      </c>
      <c r="C31" s="7" t="s">
        <v>40</v>
      </c>
      <c r="D31" s="7" t="s">
        <v>98</v>
      </c>
      <c r="E31" s="7" t="s">
        <v>29</v>
      </c>
      <c r="F31" s="7" t="s">
        <v>120</v>
      </c>
      <c r="G31" s="7">
        <v>2</v>
      </c>
      <c r="H31" s="9">
        <v>2300</v>
      </c>
      <c r="I31" s="10">
        <v>0.10000000000000001</v>
      </c>
      <c r="J31" s="7" t="s">
        <v>89</v>
      </c>
      <c r="K31" s="7" t="s">
        <v>65</v>
      </c>
      <c r="L31" s="7" t="s">
        <v>74</v>
      </c>
      <c r="M31" s="11">
        <f t="shared" si="6"/>
        <v>4140</v>
      </c>
      <c r="N31" t="str">
        <f t="shared" si="7"/>
        <v>Jan</v>
      </c>
      <c r="O31">
        <f t="shared" si="8"/>
        <v>1</v>
      </c>
      <c r="P31">
        <f>VLOOKUP(F31,Products!A:C,3,FALSE)</f>
        <v>1426</v>
      </c>
      <c r="Q31" s="12">
        <f t="shared" si="9"/>
        <v>1288</v>
      </c>
    </row>
    <row r="32" ht="15">
      <c r="A32" s="7" t="s">
        <v>124</v>
      </c>
      <c r="B32" s="8">
        <v>45678</v>
      </c>
      <c r="C32" s="7" t="s">
        <v>36</v>
      </c>
      <c r="D32" s="7" t="s">
        <v>114</v>
      </c>
      <c r="E32" s="7" t="s">
        <v>19</v>
      </c>
      <c r="F32" s="7" t="s">
        <v>73</v>
      </c>
      <c r="G32" s="7">
        <v>1</v>
      </c>
      <c r="H32" s="9">
        <v>650</v>
      </c>
      <c r="I32" s="10">
        <v>0.14999999999999999</v>
      </c>
      <c r="J32" s="7" t="s">
        <v>83</v>
      </c>
      <c r="K32" s="7" t="s">
        <v>65</v>
      </c>
      <c r="L32" s="7" t="s">
        <v>90</v>
      </c>
      <c r="M32" s="11">
        <f t="shared" si="6"/>
        <v>552.5</v>
      </c>
      <c r="N32" t="str">
        <f t="shared" si="7"/>
        <v>Jan</v>
      </c>
      <c r="O32">
        <f t="shared" si="8"/>
        <v>1</v>
      </c>
      <c r="P32">
        <f>VLOOKUP(F32,Products!A:C,3,FALSE)</f>
        <v>403</v>
      </c>
      <c r="Q32" s="12">
        <f t="shared" si="9"/>
        <v>149.5</v>
      </c>
    </row>
    <row r="33" ht="15">
      <c r="A33" s="7" t="s">
        <v>125</v>
      </c>
      <c r="B33" s="8">
        <v>45679</v>
      </c>
      <c r="C33" s="7" t="s">
        <v>40</v>
      </c>
      <c r="D33" s="7" t="s">
        <v>85</v>
      </c>
      <c r="E33" s="7" t="s">
        <v>29</v>
      </c>
      <c r="F33" s="7" t="s">
        <v>81</v>
      </c>
      <c r="G33" s="7">
        <v>3</v>
      </c>
      <c r="H33" s="9">
        <v>1900</v>
      </c>
      <c r="I33" s="10">
        <v>0.14999999999999999</v>
      </c>
      <c r="J33" s="7" t="s">
        <v>93</v>
      </c>
      <c r="K33" s="7" t="s">
        <v>71</v>
      </c>
      <c r="L33" s="7" t="s">
        <v>78</v>
      </c>
      <c r="M33" s="11">
        <f t="shared" si="6"/>
        <v>4845</v>
      </c>
      <c r="N33" t="str">
        <f t="shared" si="7"/>
        <v>Jan</v>
      </c>
      <c r="O33">
        <f t="shared" si="8"/>
        <v>1</v>
      </c>
      <c r="P33">
        <f>VLOOKUP(F33,Products!A:C,3,FALSE)</f>
        <v>1178</v>
      </c>
      <c r="Q33" s="12">
        <f t="shared" si="9"/>
        <v>1311</v>
      </c>
    </row>
    <row r="34" ht="15">
      <c r="A34" s="7" t="s">
        <v>126</v>
      </c>
      <c r="B34" s="8">
        <v>45680</v>
      </c>
      <c r="C34" s="7" t="s">
        <v>40</v>
      </c>
      <c r="D34" s="7" t="s">
        <v>80</v>
      </c>
      <c r="E34" s="7" t="s">
        <v>24</v>
      </c>
      <c r="F34" s="7" t="s">
        <v>38</v>
      </c>
      <c r="G34" s="7">
        <v>1</v>
      </c>
      <c r="H34" s="9">
        <v>12500</v>
      </c>
      <c r="I34" s="10">
        <v>0.14999999999999999</v>
      </c>
      <c r="J34" s="7" t="s">
        <v>103</v>
      </c>
      <c r="K34" s="7" t="s">
        <v>65</v>
      </c>
      <c r="L34" s="7" t="s">
        <v>90</v>
      </c>
      <c r="M34" s="11">
        <f t="shared" si="6"/>
        <v>10625</v>
      </c>
      <c r="N34" t="str">
        <f t="shared" si="7"/>
        <v>Jan</v>
      </c>
      <c r="O34">
        <f t="shared" si="8"/>
        <v>1</v>
      </c>
      <c r="P34">
        <f>VLOOKUP(F34,Products!A:C,3,FALSE)</f>
        <v>7750</v>
      </c>
      <c r="Q34" s="12">
        <f t="shared" si="9"/>
        <v>2875</v>
      </c>
    </row>
    <row r="35" ht="15">
      <c r="A35" s="7" t="s">
        <v>127</v>
      </c>
      <c r="B35" s="8">
        <v>45680</v>
      </c>
      <c r="C35" s="7" t="s">
        <v>36</v>
      </c>
      <c r="D35" s="7" t="s">
        <v>76</v>
      </c>
      <c r="E35" s="7" t="s">
        <v>29</v>
      </c>
      <c r="F35" s="7" t="s">
        <v>81</v>
      </c>
      <c r="G35" s="7">
        <v>3</v>
      </c>
      <c r="H35" s="9">
        <v>1900</v>
      </c>
      <c r="I35" s="10">
        <v>0</v>
      </c>
      <c r="J35" s="7" t="s">
        <v>83</v>
      </c>
      <c r="K35" s="7" t="s">
        <v>65</v>
      </c>
      <c r="L35" s="7" t="s">
        <v>90</v>
      </c>
      <c r="M35" s="11">
        <f t="shared" si="6"/>
        <v>5700</v>
      </c>
      <c r="N35" t="str">
        <f t="shared" si="7"/>
        <v>Jan</v>
      </c>
      <c r="O35">
        <f t="shared" si="8"/>
        <v>1</v>
      </c>
      <c r="P35">
        <f>VLOOKUP(F35,Products!A:C,3,FALSE)</f>
        <v>1178</v>
      </c>
      <c r="Q35" s="12">
        <f t="shared" si="9"/>
        <v>2166</v>
      </c>
    </row>
    <row r="36" ht="15">
      <c r="A36" s="7" t="s">
        <v>128</v>
      </c>
      <c r="B36" s="8">
        <v>45680</v>
      </c>
      <c r="C36" s="7" t="s">
        <v>40</v>
      </c>
      <c r="D36" s="7" t="s">
        <v>80</v>
      </c>
      <c r="E36" s="7" t="s">
        <v>24</v>
      </c>
      <c r="F36" s="7" t="s">
        <v>35</v>
      </c>
      <c r="G36" s="7">
        <v>4</v>
      </c>
      <c r="H36" s="9">
        <v>8200</v>
      </c>
      <c r="I36" s="10">
        <v>0.10000000000000001</v>
      </c>
      <c r="J36" s="7" t="s">
        <v>89</v>
      </c>
      <c r="K36" s="7" t="s">
        <v>65</v>
      </c>
      <c r="L36" s="7" t="s">
        <v>74</v>
      </c>
      <c r="M36" s="11">
        <f t="shared" si="6"/>
        <v>29520</v>
      </c>
      <c r="N36" t="str">
        <f t="shared" si="7"/>
        <v>Jan</v>
      </c>
      <c r="O36">
        <f t="shared" si="8"/>
        <v>1</v>
      </c>
      <c r="P36">
        <f>VLOOKUP(F36,Products!A:C,3,FALSE)</f>
        <v>5084</v>
      </c>
      <c r="Q36" s="12">
        <f t="shared" si="9"/>
        <v>9184</v>
      </c>
    </row>
    <row r="37" ht="15">
      <c r="A37" s="7" t="s">
        <v>129</v>
      </c>
      <c r="B37" s="8">
        <v>45681</v>
      </c>
      <c r="C37" s="7" t="s">
        <v>28</v>
      </c>
      <c r="D37" s="7" t="s">
        <v>112</v>
      </c>
      <c r="E37" s="7" t="s">
        <v>29</v>
      </c>
      <c r="F37" s="7" t="s">
        <v>21</v>
      </c>
      <c r="G37" s="7">
        <v>1</v>
      </c>
      <c r="H37" s="9">
        <v>3600</v>
      </c>
      <c r="I37" s="10">
        <v>0</v>
      </c>
      <c r="J37" s="7" t="s">
        <v>93</v>
      </c>
      <c r="K37" s="7" t="s">
        <v>71</v>
      </c>
      <c r="L37" s="7" t="s">
        <v>74</v>
      </c>
      <c r="M37" s="11">
        <f t="shared" si="6"/>
        <v>3600</v>
      </c>
      <c r="N37" t="str">
        <f t="shared" si="7"/>
        <v>Jan</v>
      </c>
      <c r="O37">
        <f t="shared" si="8"/>
        <v>1</v>
      </c>
      <c r="P37">
        <f>VLOOKUP(F37,Products!A:C,3,FALSE)</f>
        <v>2232</v>
      </c>
      <c r="Q37" s="12">
        <f t="shared" si="9"/>
        <v>1368</v>
      </c>
    </row>
    <row r="38" ht="15">
      <c r="A38" s="7" t="s">
        <v>130</v>
      </c>
      <c r="B38" s="8">
        <v>45681</v>
      </c>
      <c r="C38" s="7" t="s">
        <v>40</v>
      </c>
      <c r="D38" s="7" t="s">
        <v>85</v>
      </c>
      <c r="E38" s="7" t="s">
        <v>19</v>
      </c>
      <c r="F38" s="7" t="s">
        <v>106</v>
      </c>
      <c r="G38" s="7">
        <v>1</v>
      </c>
      <c r="H38" s="9">
        <v>180</v>
      </c>
      <c r="I38" s="10">
        <v>0</v>
      </c>
      <c r="J38" s="7" t="s">
        <v>70</v>
      </c>
      <c r="K38" s="7" t="s">
        <v>71</v>
      </c>
      <c r="L38" s="7" t="s">
        <v>74</v>
      </c>
      <c r="M38" s="11">
        <f t="shared" si="6"/>
        <v>180</v>
      </c>
      <c r="N38" t="str">
        <f t="shared" si="7"/>
        <v>Jan</v>
      </c>
      <c r="O38">
        <f t="shared" si="8"/>
        <v>1</v>
      </c>
      <c r="P38">
        <f>VLOOKUP(F38,Products!A:C,3,FALSE)</f>
        <v>112</v>
      </c>
      <c r="Q38" s="12">
        <f t="shared" si="9"/>
        <v>68</v>
      </c>
    </row>
    <row r="39" ht="15">
      <c r="A39" s="7" t="s">
        <v>131</v>
      </c>
      <c r="B39" s="8">
        <v>45683</v>
      </c>
      <c r="C39" s="7" t="s">
        <v>33</v>
      </c>
      <c r="D39" s="7" t="s">
        <v>102</v>
      </c>
      <c r="E39" s="7" t="s">
        <v>24</v>
      </c>
      <c r="F39" s="7" t="s">
        <v>31</v>
      </c>
      <c r="G39" s="7">
        <v>3</v>
      </c>
      <c r="H39" s="9">
        <v>5400</v>
      </c>
      <c r="I39" s="10">
        <v>0</v>
      </c>
      <c r="J39" s="7" t="s">
        <v>70</v>
      </c>
      <c r="K39" s="7" t="s">
        <v>71</v>
      </c>
      <c r="L39" s="7" t="s">
        <v>78</v>
      </c>
      <c r="M39" s="11">
        <f t="shared" si="6"/>
        <v>16200</v>
      </c>
      <c r="N39" t="str">
        <f t="shared" si="7"/>
        <v>Jan</v>
      </c>
      <c r="O39">
        <f t="shared" si="8"/>
        <v>1</v>
      </c>
      <c r="P39">
        <f>VLOOKUP(F39,Products!A:C,3,FALSE)</f>
        <v>3348</v>
      </c>
      <c r="Q39" s="12">
        <f t="shared" si="9"/>
        <v>6156</v>
      </c>
    </row>
    <row r="40" ht="15">
      <c r="A40" s="7" t="s">
        <v>132</v>
      </c>
      <c r="B40" s="8">
        <v>45684</v>
      </c>
      <c r="C40" s="7" t="s">
        <v>40</v>
      </c>
      <c r="D40" s="7" t="s">
        <v>98</v>
      </c>
      <c r="E40" s="7" t="s">
        <v>29</v>
      </c>
      <c r="F40" s="7" t="s">
        <v>21</v>
      </c>
      <c r="G40" s="7">
        <v>3</v>
      </c>
      <c r="H40" s="9">
        <v>3600</v>
      </c>
      <c r="I40" s="10">
        <v>0.10000000000000001</v>
      </c>
      <c r="J40" s="7" t="s">
        <v>70</v>
      </c>
      <c r="K40" s="7" t="s">
        <v>65</v>
      </c>
      <c r="L40" s="7" t="s">
        <v>90</v>
      </c>
      <c r="M40" s="11">
        <f t="shared" si="6"/>
        <v>9720</v>
      </c>
      <c r="N40" t="str">
        <f t="shared" si="7"/>
        <v>Jan</v>
      </c>
      <c r="O40">
        <f t="shared" si="8"/>
        <v>1</v>
      </c>
      <c r="P40">
        <f>VLOOKUP(F40,Products!A:C,3,FALSE)</f>
        <v>2232</v>
      </c>
      <c r="Q40" s="12">
        <f t="shared" si="9"/>
        <v>3024</v>
      </c>
    </row>
    <row r="41" ht="15">
      <c r="A41" s="7" t="s">
        <v>133</v>
      </c>
      <c r="B41" s="8">
        <v>45684</v>
      </c>
      <c r="C41" s="7" t="s">
        <v>40</v>
      </c>
      <c r="D41" s="7" t="s">
        <v>98</v>
      </c>
      <c r="E41" s="7" t="s">
        <v>24</v>
      </c>
      <c r="F41" s="7" t="s">
        <v>26</v>
      </c>
      <c r="G41" s="7">
        <v>3</v>
      </c>
      <c r="H41" s="9">
        <v>3100</v>
      </c>
      <c r="I41" s="10">
        <v>0</v>
      </c>
      <c r="J41" s="7" t="s">
        <v>83</v>
      </c>
      <c r="K41" s="7" t="s">
        <v>65</v>
      </c>
      <c r="L41" s="7" t="s">
        <v>66</v>
      </c>
      <c r="M41" s="11">
        <f t="shared" si="6"/>
        <v>9300</v>
      </c>
      <c r="N41" t="str">
        <f t="shared" si="7"/>
        <v>Jan</v>
      </c>
      <c r="O41">
        <f t="shared" si="8"/>
        <v>1</v>
      </c>
      <c r="P41">
        <f>VLOOKUP(F41,Products!A:C,3,FALSE)</f>
        <v>1922</v>
      </c>
      <c r="Q41" s="12">
        <f t="shared" si="9"/>
        <v>3534</v>
      </c>
    </row>
    <row r="42" ht="15">
      <c r="A42" s="7" t="s">
        <v>134</v>
      </c>
      <c r="B42" s="8">
        <v>45684</v>
      </c>
      <c r="C42" s="7" t="s">
        <v>33</v>
      </c>
      <c r="D42" s="7" t="s">
        <v>102</v>
      </c>
      <c r="E42" s="7" t="s">
        <v>24</v>
      </c>
      <c r="F42" s="7" t="s">
        <v>35</v>
      </c>
      <c r="G42" s="7">
        <v>2</v>
      </c>
      <c r="H42" s="9">
        <v>8200</v>
      </c>
      <c r="I42" s="10">
        <v>5.0000000000000003e-002</v>
      </c>
      <c r="J42" s="7" t="s">
        <v>83</v>
      </c>
      <c r="K42" s="7" t="s">
        <v>65</v>
      </c>
      <c r="L42" s="7" t="s">
        <v>78</v>
      </c>
      <c r="M42" s="11">
        <f t="shared" si="6"/>
        <v>15580</v>
      </c>
      <c r="N42" t="str">
        <f t="shared" si="7"/>
        <v>Jan</v>
      </c>
      <c r="O42">
        <f t="shared" si="8"/>
        <v>1</v>
      </c>
      <c r="P42">
        <f>VLOOKUP(F42,Products!A:C,3,FALSE)</f>
        <v>5084</v>
      </c>
      <c r="Q42" s="12">
        <f t="shared" si="9"/>
        <v>5412</v>
      </c>
    </row>
    <row r="43" ht="15">
      <c r="A43" s="7" t="s">
        <v>135</v>
      </c>
      <c r="B43" s="8">
        <v>45685</v>
      </c>
      <c r="C43" s="7" t="s">
        <v>18</v>
      </c>
      <c r="D43" s="7" t="s">
        <v>63</v>
      </c>
      <c r="E43" s="7" t="s">
        <v>29</v>
      </c>
      <c r="F43" s="7" t="s">
        <v>21</v>
      </c>
      <c r="G43" s="7">
        <v>2</v>
      </c>
      <c r="H43" s="9">
        <v>3600</v>
      </c>
      <c r="I43" s="10">
        <v>0</v>
      </c>
      <c r="J43" s="7" t="s">
        <v>64</v>
      </c>
      <c r="K43" s="7" t="s">
        <v>65</v>
      </c>
      <c r="L43" s="7" t="s">
        <v>78</v>
      </c>
      <c r="M43" s="11">
        <f t="shared" si="6"/>
        <v>7200</v>
      </c>
      <c r="N43" t="str">
        <f t="shared" si="7"/>
        <v>Jan</v>
      </c>
      <c r="O43">
        <f t="shared" si="8"/>
        <v>1</v>
      </c>
      <c r="P43">
        <f>VLOOKUP(F43,Products!A:C,3,FALSE)</f>
        <v>2232</v>
      </c>
      <c r="Q43" s="12">
        <f t="shared" si="9"/>
        <v>2736</v>
      </c>
    </row>
    <row r="44" ht="15">
      <c r="A44" s="7" t="s">
        <v>136</v>
      </c>
      <c r="B44" s="8">
        <v>45685</v>
      </c>
      <c r="C44" s="7" t="s">
        <v>33</v>
      </c>
      <c r="D44" s="7" t="s">
        <v>68</v>
      </c>
      <c r="E44" s="7" t="s">
        <v>34</v>
      </c>
      <c r="F44" s="7" t="s">
        <v>69</v>
      </c>
      <c r="G44" s="7">
        <v>27</v>
      </c>
      <c r="H44" s="9">
        <v>120</v>
      </c>
      <c r="I44" s="10">
        <v>0.14999999999999999</v>
      </c>
      <c r="J44" s="7" t="s">
        <v>89</v>
      </c>
      <c r="K44" s="7" t="s">
        <v>71</v>
      </c>
      <c r="L44" s="7" t="s">
        <v>74</v>
      </c>
      <c r="M44" s="11">
        <f t="shared" si="6"/>
        <v>2754</v>
      </c>
      <c r="N44" t="str">
        <f t="shared" si="7"/>
        <v>Jan</v>
      </c>
      <c r="O44">
        <f t="shared" si="8"/>
        <v>1</v>
      </c>
      <c r="P44">
        <f>VLOOKUP(F44,Products!A:C,3,FALSE)</f>
        <v>74</v>
      </c>
      <c r="Q44" s="12">
        <f t="shared" si="9"/>
        <v>756</v>
      </c>
    </row>
    <row r="45" ht="15">
      <c r="A45" s="7" t="s">
        <v>137</v>
      </c>
      <c r="B45" s="8">
        <v>45685</v>
      </c>
      <c r="C45" s="7" t="s">
        <v>40</v>
      </c>
      <c r="D45" s="7" t="s">
        <v>98</v>
      </c>
      <c r="E45" s="7" t="s">
        <v>24</v>
      </c>
      <c r="F45" s="7" t="s">
        <v>35</v>
      </c>
      <c r="G45" s="7">
        <v>2</v>
      </c>
      <c r="H45" s="9">
        <v>8200</v>
      </c>
      <c r="I45" s="10">
        <v>0.10000000000000001</v>
      </c>
      <c r="J45" s="7" t="s">
        <v>64</v>
      </c>
      <c r="K45" s="7" t="s">
        <v>71</v>
      </c>
      <c r="L45" s="7" t="s">
        <v>78</v>
      </c>
      <c r="M45" s="11">
        <f t="shared" si="6"/>
        <v>14760</v>
      </c>
      <c r="N45" t="str">
        <f t="shared" si="7"/>
        <v>Jan</v>
      </c>
      <c r="O45">
        <f t="shared" si="8"/>
        <v>1</v>
      </c>
      <c r="P45">
        <f>VLOOKUP(F45,Products!A:C,3,FALSE)</f>
        <v>5084</v>
      </c>
      <c r="Q45" s="12">
        <f t="shared" si="9"/>
        <v>4592</v>
      </c>
    </row>
    <row r="46" ht="15">
      <c r="A46" s="7" t="s">
        <v>138</v>
      </c>
      <c r="B46" s="8">
        <v>45686</v>
      </c>
      <c r="C46" s="7" t="s">
        <v>28</v>
      </c>
      <c r="D46" s="7" t="s">
        <v>112</v>
      </c>
      <c r="E46" s="7" t="s">
        <v>24</v>
      </c>
      <c r="F46" s="7" t="s">
        <v>31</v>
      </c>
      <c r="G46" s="7">
        <v>4</v>
      </c>
      <c r="H46" s="9">
        <v>5400</v>
      </c>
      <c r="I46" s="10">
        <v>0.10000000000000001</v>
      </c>
      <c r="J46" s="7" t="s">
        <v>83</v>
      </c>
      <c r="K46" s="7" t="s">
        <v>65</v>
      </c>
      <c r="L46" s="7" t="s">
        <v>66</v>
      </c>
      <c r="M46" s="11">
        <f t="shared" si="6"/>
        <v>19440</v>
      </c>
      <c r="N46" t="str">
        <f t="shared" si="7"/>
        <v>Jan</v>
      </c>
      <c r="O46">
        <f t="shared" si="8"/>
        <v>1</v>
      </c>
      <c r="P46">
        <f>VLOOKUP(F46,Products!A:C,3,FALSE)</f>
        <v>3348</v>
      </c>
      <c r="Q46" s="12">
        <f t="shared" si="9"/>
        <v>6048</v>
      </c>
    </row>
    <row r="47" ht="15">
      <c r="A47" s="7" t="s">
        <v>139</v>
      </c>
      <c r="B47" s="8">
        <v>45686</v>
      </c>
      <c r="C47" s="7" t="s">
        <v>28</v>
      </c>
      <c r="D47" s="7" t="s">
        <v>112</v>
      </c>
      <c r="E47" s="7" t="s">
        <v>19</v>
      </c>
      <c r="F47" s="7" t="s">
        <v>77</v>
      </c>
      <c r="G47" s="7">
        <v>2</v>
      </c>
      <c r="H47" s="9">
        <v>520</v>
      </c>
      <c r="I47" s="10">
        <v>5.0000000000000003e-002</v>
      </c>
      <c r="J47" s="7" t="s">
        <v>103</v>
      </c>
      <c r="K47" s="7" t="s">
        <v>65</v>
      </c>
      <c r="L47" s="7" t="s">
        <v>66</v>
      </c>
      <c r="M47" s="11">
        <f t="shared" si="6"/>
        <v>988</v>
      </c>
      <c r="N47" t="str">
        <f t="shared" si="7"/>
        <v>Jan</v>
      </c>
      <c r="O47">
        <f t="shared" si="8"/>
        <v>1</v>
      </c>
      <c r="P47">
        <f>VLOOKUP(F47,Products!A:C,3,FALSE)</f>
        <v>322</v>
      </c>
      <c r="Q47" s="12">
        <f t="shared" si="9"/>
        <v>344</v>
      </c>
    </row>
    <row r="48" ht="15">
      <c r="A48" s="7" t="s">
        <v>140</v>
      </c>
      <c r="B48" s="8">
        <v>45687</v>
      </c>
      <c r="C48" s="7" t="s">
        <v>40</v>
      </c>
      <c r="D48" s="7" t="s">
        <v>98</v>
      </c>
      <c r="E48" s="7" t="s">
        <v>19</v>
      </c>
      <c r="F48" s="7" t="s">
        <v>106</v>
      </c>
      <c r="G48" s="7">
        <v>3</v>
      </c>
      <c r="H48" s="9">
        <v>180</v>
      </c>
      <c r="I48" s="10">
        <v>0.10000000000000001</v>
      </c>
      <c r="J48" s="7" t="s">
        <v>103</v>
      </c>
      <c r="K48" s="7" t="s">
        <v>65</v>
      </c>
      <c r="L48" s="7" t="s">
        <v>90</v>
      </c>
      <c r="M48" s="11">
        <f t="shared" si="6"/>
        <v>486</v>
      </c>
      <c r="N48" t="str">
        <f t="shared" si="7"/>
        <v>Jan</v>
      </c>
      <c r="O48">
        <f t="shared" si="8"/>
        <v>1</v>
      </c>
      <c r="P48">
        <f>VLOOKUP(F48,Products!A:C,3,FALSE)</f>
        <v>112</v>
      </c>
      <c r="Q48" s="12">
        <f t="shared" si="9"/>
        <v>150</v>
      </c>
    </row>
    <row r="49" ht="15">
      <c r="A49" s="7" t="s">
        <v>141</v>
      </c>
      <c r="B49" s="8">
        <v>45688</v>
      </c>
      <c r="C49" s="7" t="s">
        <v>40</v>
      </c>
      <c r="D49" s="7" t="s">
        <v>85</v>
      </c>
      <c r="E49" s="7" t="s">
        <v>24</v>
      </c>
      <c r="F49" s="7" t="s">
        <v>38</v>
      </c>
      <c r="G49" s="7">
        <v>1</v>
      </c>
      <c r="H49" s="9">
        <v>12500</v>
      </c>
      <c r="I49" s="10">
        <v>0.14999999999999999</v>
      </c>
      <c r="J49" s="7" t="s">
        <v>103</v>
      </c>
      <c r="K49" s="7" t="s">
        <v>65</v>
      </c>
      <c r="L49" s="7" t="s">
        <v>90</v>
      </c>
      <c r="M49" s="11">
        <f t="shared" si="6"/>
        <v>10625</v>
      </c>
      <c r="N49" t="str">
        <f t="shared" si="7"/>
        <v>Jan</v>
      </c>
      <c r="O49">
        <f t="shared" si="8"/>
        <v>1</v>
      </c>
      <c r="P49">
        <f>VLOOKUP(F49,Products!A:C,3,FALSE)</f>
        <v>7750</v>
      </c>
      <c r="Q49" s="12">
        <f t="shared" si="9"/>
        <v>2875</v>
      </c>
    </row>
    <row r="50" ht="15">
      <c r="A50" s="7" t="s">
        <v>142</v>
      </c>
      <c r="B50" s="8">
        <v>45688</v>
      </c>
      <c r="C50" s="7" t="s">
        <v>33</v>
      </c>
      <c r="D50" s="7" t="s">
        <v>102</v>
      </c>
      <c r="E50" s="7" t="s">
        <v>29</v>
      </c>
      <c r="F50" s="7" t="s">
        <v>81</v>
      </c>
      <c r="G50" s="7">
        <v>4</v>
      </c>
      <c r="H50" s="9">
        <v>1900</v>
      </c>
      <c r="I50" s="10">
        <v>0.10000000000000001</v>
      </c>
      <c r="J50" s="7" t="s">
        <v>89</v>
      </c>
      <c r="K50" s="7" t="s">
        <v>65</v>
      </c>
      <c r="L50" s="7" t="s">
        <v>90</v>
      </c>
      <c r="M50" s="11">
        <f t="shared" si="6"/>
        <v>6840</v>
      </c>
      <c r="N50" t="str">
        <f t="shared" si="7"/>
        <v>Jan</v>
      </c>
      <c r="O50">
        <f t="shared" si="8"/>
        <v>1</v>
      </c>
      <c r="P50">
        <f>VLOOKUP(F50,Products!A:C,3,FALSE)</f>
        <v>1178</v>
      </c>
      <c r="Q50" s="12">
        <f t="shared" si="9"/>
        <v>2128</v>
      </c>
    </row>
    <row r="51" ht="15">
      <c r="A51" s="7" t="s">
        <v>143</v>
      </c>
      <c r="B51" s="8">
        <v>45690</v>
      </c>
      <c r="C51" s="7" t="s">
        <v>40</v>
      </c>
      <c r="D51" s="7" t="s">
        <v>98</v>
      </c>
      <c r="E51" s="7" t="s">
        <v>34</v>
      </c>
      <c r="F51" s="7" t="s">
        <v>69</v>
      </c>
      <c r="G51" s="7">
        <v>33</v>
      </c>
      <c r="H51" s="9">
        <v>120</v>
      </c>
      <c r="I51" s="10">
        <v>0</v>
      </c>
      <c r="J51" s="7" t="s">
        <v>93</v>
      </c>
      <c r="K51" s="7" t="s">
        <v>71</v>
      </c>
      <c r="L51" s="7" t="s">
        <v>78</v>
      </c>
      <c r="M51" s="11">
        <f t="shared" si="6"/>
        <v>3960</v>
      </c>
      <c r="N51" t="str">
        <f t="shared" si="7"/>
        <v>Feb</v>
      </c>
      <c r="O51">
        <f t="shared" si="8"/>
        <v>1</v>
      </c>
      <c r="P51">
        <f>VLOOKUP(F51,Products!A:C,3,FALSE)</f>
        <v>74</v>
      </c>
      <c r="Q51" s="12">
        <f t="shared" si="9"/>
        <v>1518</v>
      </c>
    </row>
    <row r="52" ht="15">
      <c r="A52" s="7" t="s">
        <v>144</v>
      </c>
      <c r="B52" s="8">
        <v>45691</v>
      </c>
      <c r="C52" s="7" t="s">
        <v>36</v>
      </c>
      <c r="D52" s="7" t="s">
        <v>114</v>
      </c>
      <c r="E52" s="7" t="s">
        <v>34</v>
      </c>
      <c r="F52" s="7" t="s">
        <v>69</v>
      </c>
      <c r="G52" s="7">
        <v>20</v>
      </c>
      <c r="H52" s="9">
        <v>120</v>
      </c>
      <c r="I52" s="10">
        <v>0.14999999999999999</v>
      </c>
      <c r="J52" s="7" t="s">
        <v>70</v>
      </c>
      <c r="K52" s="7" t="s">
        <v>71</v>
      </c>
      <c r="L52" s="7" t="s">
        <v>74</v>
      </c>
      <c r="M52" s="11">
        <f t="shared" si="6"/>
        <v>2040</v>
      </c>
      <c r="N52" t="str">
        <f t="shared" si="7"/>
        <v>Feb</v>
      </c>
      <c r="O52">
        <f t="shared" si="8"/>
        <v>1</v>
      </c>
      <c r="P52">
        <f>VLOOKUP(F52,Products!A:C,3,FALSE)</f>
        <v>74</v>
      </c>
      <c r="Q52" s="12">
        <f t="shared" si="9"/>
        <v>560</v>
      </c>
    </row>
    <row r="53" ht="15">
      <c r="A53" s="7" t="s">
        <v>145</v>
      </c>
      <c r="B53" s="8">
        <v>45692</v>
      </c>
      <c r="C53" s="7" t="s">
        <v>40</v>
      </c>
      <c r="D53" s="7" t="s">
        <v>85</v>
      </c>
      <c r="E53" s="7" t="s">
        <v>29</v>
      </c>
      <c r="F53" s="7" t="s">
        <v>120</v>
      </c>
      <c r="G53" s="7">
        <v>4</v>
      </c>
      <c r="H53" s="9">
        <v>2300</v>
      </c>
      <c r="I53" s="10">
        <v>5.0000000000000003e-002</v>
      </c>
      <c r="J53" s="7" t="s">
        <v>93</v>
      </c>
      <c r="K53" s="7" t="s">
        <v>71</v>
      </c>
      <c r="L53" s="7" t="s">
        <v>78</v>
      </c>
      <c r="M53" s="11">
        <f t="shared" si="6"/>
        <v>8740</v>
      </c>
      <c r="N53" t="str">
        <f t="shared" si="7"/>
        <v>Feb</v>
      </c>
      <c r="O53">
        <f t="shared" si="8"/>
        <v>1</v>
      </c>
      <c r="P53">
        <f>VLOOKUP(F53,Products!A:C,3,FALSE)</f>
        <v>1426</v>
      </c>
      <c r="Q53" s="12">
        <f t="shared" si="9"/>
        <v>3036</v>
      </c>
    </row>
    <row r="54" ht="15">
      <c r="A54" s="7" t="s">
        <v>146</v>
      </c>
      <c r="B54" s="8">
        <v>45693</v>
      </c>
      <c r="C54" s="7" t="s">
        <v>36</v>
      </c>
      <c r="D54" s="7" t="s">
        <v>76</v>
      </c>
      <c r="E54" s="7" t="s">
        <v>19</v>
      </c>
      <c r="F54" s="7" t="s">
        <v>106</v>
      </c>
      <c r="G54" s="7">
        <v>1</v>
      </c>
      <c r="H54" s="9">
        <v>180</v>
      </c>
      <c r="I54" s="10">
        <v>0</v>
      </c>
      <c r="J54" s="7" t="s">
        <v>103</v>
      </c>
      <c r="K54" s="7" t="s">
        <v>65</v>
      </c>
      <c r="L54" s="7" t="s">
        <v>90</v>
      </c>
      <c r="M54" s="11">
        <f t="shared" si="6"/>
        <v>180</v>
      </c>
      <c r="N54" t="str">
        <f t="shared" si="7"/>
        <v>Feb</v>
      </c>
      <c r="O54">
        <f t="shared" si="8"/>
        <v>1</v>
      </c>
      <c r="P54">
        <f>VLOOKUP(F54,Products!A:C,3,FALSE)</f>
        <v>112</v>
      </c>
      <c r="Q54" s="12">
        <f t="shared" si="9"/>
        <v>68</v>
      </c>
    </row>
    <row r="55" ht="15">
      <c r="A55" s="7" t="s">
        <v>147</v>
      </c>
      <c r="B55" s="8">
        <v>45693</v>
      </c>
      <c r="C55" s="7" t="s">
        <v>40</v>
      </c>
      <c r="D55" s="7" t="s">
        <v>80</v>
      </c>
      <c r="E55" s="7" t="s">
        <v>24</v>
      </c>
      <c r="F55" s="7" t="s">
        <v>26</v>
      </c>
      <c r="G55" s="7">
        <v>2</v>
      </c>
      <c r="H55" s="9">
        <v>3100</v>
      </c>
      <c r="I55" s="10">
        <v>0</v>
      </c>
      <c r="J55" s="7" t="s">
        <v>103</v>
      </c>
      <c r="K55" s="7" t="s">
        <v>65</v>
      </c>
      <c r="L55" s="7" t="s">
        <v>74</v>
      </c>
      <c r="M55" s="11">
        <f t="shared" si="6"/>
        <v>6200</v>
      </c>
      <c r="N55" t="str">
        <f t="shared" si="7"/>
        <v>Feb</v>
      </c>
      <c r="O55">
        <f t="shared" si="8"/>
        <v>1</v>
      </c>
      <c r="P55">
        <f>VLOOKUP(F55,Products!A:C,3,FALSE)</f>
        <v>1922</v>
      </c>
      <c r="Q55" s="12">
        <f t="shared" si="9"/>
        <v>2356</v>
      </c>
    </row>
    <row r="56" ht="15">
      <c r="A56" s="7" t="s">
        <v>148</v>
      </c>
      <c r="B56" s="8">
        <v>45693</v>
      </c>
      <c r="C56" s="7" t="s">
        <v>40</v>
      </c>
      <c r="D56" s="7" t="s">
        <v>80</v>
      </c>
      <c r="E56" s="7" t="s">
        <v>29</v>
      </c>
      <c r="F56" s="7" t="s">
        <v>120</v>
      </c>
      <c r="G56" s="7">
        <v>4</v>
      </c>
      <c r="H56" s="9">
        <v>2300</v>
      </c>
      <c r="I56" s="10">
        <v>0</v>
      </c>
      <c r="J56" s="7" t="s">
        <v>83</v>
      </c>
      <c r="K56" s="7" t="s">
        <v>71</v>
      </c>
      <c r="L56" s="7" t="s">
        <v>78</v>
      </c>
      <c r="M56" s="11">
        <f t="shared" si="6"/>
        <v>9200</v>
      </c>
      <c r="N56" t="str">
        <f t="shared" si="7"/>
        <v>Feb</v>
      </c>
      <c r="O56">
        <f t="shared" si="8"/>
        <v>1</v>
      </c>
      <c r="P56">
        <f>VLOOKUP(F56,Products!A:C,3,FALSE)</f>
        <v>1426</v>
      </c>
      <c r="Q56" s="12">
        <f t="shared" si="9"/>
        <v>3496</v>
      </c>
    </row>
    <row r="57" ht="15">
      <c r="A57" s="7" t="s">
        <v>149</v>
      </c>
      <c r="B57" s="8">
        <v>45694</v>
      </c>
      <c r="C57" s="7" t="s">
        <v>33</v>
      </c>
      <c r="D57" s="7" t="s">
        <v>68</v>
      </c>
      <c r="E57" s="7" t="s">
        <v>24</v>
      </c>
      <c r="F57" s="7" t="s">
        <v>26</v>
      </c>
      <c r="G57" s="7">
        <v>2</v>
      </c>
      <c r="H57" s="9">
        <v>3100</v>
      </c>
      <c r="I57" s="10">
        <v>0.14999999999999999</v>
      </c>
      <c r="J57" s="7" t="s">
        <v>89</v>
      </c>
      <c r="K57" s="7" t="s">
        <v>71</v>
      </c>
      <c r="L57" s="7" t="s">
        <v>78</v>
      </c>
      <c r="M57" s="11">
        <f t="shared" si="6"/>
        <v>5270</v>
      </c>
      <c r="N57" t="str">
        <f t="shared" si="7"/>
        <v>Feb</v>
      </c>
      <c r="O57">
        <f t="shared" si="8"/>
        <v>1</v>
      </c>
      <c r="P57">
        <f>VLOOKUP(F57,Products!A:C,3,FALSE)</f>
        <v>1922</v>
      </c>
      <c r="Q57" s="12">
        <f t="shared" si="9"/>
        <v>1426</v>
      </c>
    </row>
    <row r="58" ht="15">
      <c r="A58" s="7" t="s">
        <v>150</v>
      </c>
      <c r="B58" s="8">
        <v>45694</v>
      </c>
      <c r="C58" s="7" t="s">
        <v>36</v>
      </c>
      <c r="D58" s="7" t="s">
        <v>76</v>
      </c>
      <c r="E58" s="7" t="s">
        <v>34</v>
      </c>
      <c r="F58" s="7" t="s">
        <v>86</v>
      </c>
      <c r="G58" s="7">
        <v>6</v>
      </c>
      <c r="H58" s="9">
        <v>210</v>
      </c>
      <c r="I58" s="10">
        <v>0</v>
      </c>
      <c r="J58" s="7" t="s">
        <v>93</v>
      </c>
      <c r="K58" s="7" t="s">
        <v>65</v>
      </c>
      <c r="L58" s="7" t="s">
        <v>74</v>
      </c>
      <c r="M58" s="11">
        <f t="shared" si="6"/>
        <v>1260</v>
      </c>
      <c r="N58" t="str">
        <f t="shared" si="7"/>
        <v>Feb</v>
      </c>
      <c r="O58">
        <f t="shared" si="8"/>
        <v>1</v>
      </c>
      <c r="P58">
        <f>VLOOKUP(F58,Products!A:C,3,FALSE)</f>
        <v>130</v>
      </c>
      <c r="Q58" s="12">
        <f t="shared" si="9"/>
        <v>480</v>
      </c>
    </row>
    <row r="59" ht="15">
      <c r="A59" s="7" t="s">
        <v>151</v>
      </c>
      <c r="B59" s="8">
        <v>45695</v>
      </c>
      <c r="C59" s="7" t="s">
        <v>28</v>
      </c>
      <c r="D59" s="7" t="s">
        <v>112</v>
      </c>
      <c r="E59" s="7" t="s">
        <v>29</v>
      </c>
      <c r="F59" s="7" t="s">
        <v>120</v>
      </c>
      <c r="G59" s="7">
        <v>2</v>
      </c>
      <c r="H59" s="9">
        <v>2300</v>
      </c>
      <c r="I59" s="10">
        <v>0</v>
      </c>
      <c r="J59" s="7" t="s">
        <v>64</v>
      </c>
      <c r="K59" s="7" t="s">
        <v>65</v>
      </c>
      <c r="L59" s="7" t="s">
        <v>66</v>
      </c>
      <c r="M59" s="11">
        <f t="shared" si="6"/>
        <v>4600</v>
      </c>
      <c r="N59" t="str">
        <f t="shared" si="7"/>
        <v>Feb</v>
      </c>
      <c r="O59">
        <f t="shared" si="8"/>
        <v>1</v>
      </c>
      <c r="P59">
        <f>VLOOKUP(F59,Products!A:C,3,FALSE)</f>
        <v>1426</v>
      </c>
      <c r="Q59" s="12">
        <f t="shared" si="9"/>
        <v>1748</v>
      </c>
    </row>
    <row r="60" ht="15">
      <c r="A60" s="7" t="s">
        <v>152</v>
      </c>
      <c r="B60" s="8">
        <v>45695</v>
      </c>
      <c r="C60" s="7" t="s">
        <v>23</v>
      </c>
      <c r="D60" s="7" t="s">
        <v>95</v>
      </c>
      <c r="E60" s="7" t="s">
        <v>19</v>
      </c>
      <c r="F60" s="7" t="s">
        <v>77</v>
      </c>
      <c r="G60" s="7">
        <v>3</v>
      </c>
      <c r="H60" s="9">
        <v>520</v>
      </c>
      <c r="I60" s="10">
        <v>0.10000000000000001</v>
      </c>
      <c r="J60" s="7" t="s">
        <v>64</v>
      </c>
      <c r="K60" s="7" t="s">
        <v>65</v>
      </c>
      <c r="L60" s="7" t="s">
        <v>74</v>
      </c>
      <c r="M60" s="11">
        <f t="shared" si="6"/>
        <v>1404</v>
      </c>
      <c r="N60" t="str">
        <f t="shared" si="7"/>
        <v>Feb</v>
      </c>
      <c r="O60">
        <f t="shared" si="8"/>
        <v>1</v>
      </c>
      <c r="P60">
        <f>VLOOKUP(F60,Products!A:C,3,FALSE)</f>
        <v>322</v>
      </c>
      <c r="Q60" s="12">
        <f t="shared" si="9"/>
        <v>438</v>
      </c>
    </row>
    <row r="61" ht="15">
      <c r="A61" s="7" t="s">
        <v>153</v>
      </c>
      <c r="B61" s="8">
        <v>45695</v>
      </c>
      <c r="C61" s="7" t="s">
        <v>40</v>
      </c>
      <c r="D61" s="7" t="s">
        <v>80</v>
      </c>
      <c r="E61" s="7" t="s">
        <v>24</v>
      </c>
      <c r="F61" s="7" t="s">
        <v>31</v>
      </c>
      <c r="G61" s="7">
        <v>2</v>
      </c>
      <c r="H61" s="9">
        <v>5400</v>
      </c>
      <c r="I61" s="10">
        <v>0.14999999999999999</v>
      </c>
      <c r="J61" s="7" t="s">
        <v>70</v>
      </c>
      <c r="K61" s="7" t="s">
        <v>65</v>
      </c>
      <c r="L61" s="7" t="s">
        <v>66</v>
      </c>
      <c r="M61" s="11">
        <f t="shared" si="6"/>
        <v>9180</v>
      </c>
      <c r="N61" t="str">
        <f t="shared" si="7"/>
        <v>Feb</v>
      </c>
      <c r="O61">
        <f t="shared" si="8"/>
        <v>1</v>
      </c>
      <c r="P61">
        <f>VLOOKUP(F61,Products!A:C,3,FALSE)</f>
        <v>3348</v>
      </c>
      <c r="Q61" s="12">
        <f t="shared" si="9"/>
        <v>2484</v>
      </c>
    </row>
    <row r="62" ht="15">
      <c r="A62" s="7" t="s">
        <v>154</v>
      </c>
      <c r="B62" s="8">
        <v>45695</v>
      </c>
      <c r="C62" s="7" t="s">
        <v>36</v>
      </c>
      <c r="D62" s="7" t="s">
        <v>76</v>
      </c>
      <c r="E62" s="7" t="s">
        <v>34</v>
      </c>
      <c r="F62" s="7" t="s">
        <v>86</v>
      </c>
      <c r="G62" s="7">
        <v>23</v>
      </c>
      <c r="H62" s="9">
        <v>210</v>
      </c>
      <c r="I62" s="10">
        <v>0.14999999999999999</v>
      </c>
      <c r="J62" s="7" t="s">
        <v>70</v>
      </c>
      <c r="K62" s="7" t="s">
        <v>65</v>
      </c>
      <c r="L62" s="7" t="s">
        <v>74</v>
      </c>
      <c r="M62" s="11">
        <f t="shared" si="6"/>
        <v>4105.5</v>
      </c>
      <c r="N62" t="str">
        <f t="shared" si="7"/>
        <v>Feb</v>
      </c>
      <c r="O62">
        <f t="shared" si="8"/>
        <v>1</v>
      </c>
      <c r="P62">
        <f>VLOOKUP(F62,Products!A:C,3,FALSE)</f>
        <v>130</v>
      </c>
      <c r="Q62" s="12">
        <f t="shared" si="9"/>
        <v>1115.5</v>
      </c>
    </row>
    <row r="63" ht="15">
      <c r="A63" s="7" t="s">
        <v>155</v>
      </c>
      <c r="B63" s="8">
        <v>45696</v>
      </c>
      <c r="C63" s="7" t="s">
        <v>28</v>
      </c>
      <c r="D63" s="7" t="s">
        <v>112</v>
      </c>
      <c r="E63" s="7" t="s">
        <v>24</v>
      </c>
      <c r="F63" s="7" t="s">
        <v>26</v>
      </c>
      <c r="G63" s="7">
        <v>2</v>
      </c>
      <c r="H63" s="9">
        <v>3100</v>
      </c>
      <c r="I63" s="10">
        <v>0</v>
      </c>
      <c r="J63" s="7" t="s">
        <v>89</v>
      </c>
      <c r="K63" s="7" t="s">
        <v>71</v>
      </c>
      <c r="L63" s="7" t="s">
        <v>90</v>
      </c>
      <c r="M63" s="11">
        <f t="shared" si="6"/>
        <v>6200</v>
      </c>
      <c r="N63" t="str">
        <f t="shared" si="7"/>
        <v>Feb</v>
      </c>
      <c r="O63">
        <f t="shared" si="8"/>
        <v>1</v>
      </c>
      <c r="P63">
        <f>VLOOKUP(F63,Products!A:C,3,FALSE)</f>
        <v>1922</v>
      </c>
      <c r="Q63" s="12">
        <f t="shared" si="9"/>
        <v>2356</v>
      </c>
    </row>
    <row r="64" ht="15">
      <c r="A64" s="7" t="s">
        <v>156</v>
      </c>
      <c r="B64" s="8">
        <v>45697</v>
      </c>
      <c r="C64" s="7" t="s">
        <v>36</v>
      </c>
      <c r="D64" s="7" t="s">
        <v>76</v>
      </c>
      <c r="E64" s="7" t="s">
        <v>29</v>
      </c>
      <c r="F64" s="7" t="s">
        <v>81</v>
      </c>
      <c r="G64" s="7">
        <v>4</v>
      </c>
      <c r="H64" s="9">
        <v>1900</v>
      </c>
      <c r="I64" s="10">
        <v>0</v>
      </c>
      <c r="J64" s="7" t="s">
        <v>64</v>
      </c>
      <c r="K64" s="7" t="s">
        <v>71</v>
      </c>
      <c r="L64" s="7" t="s">
        <v>74</v>
      </c>
      <c r="M64" s="11">
        <f t="shared" si="6"/>
        <v>7600</v>
      </c>
      <c r="N64" t="str">
        <f t="shared" si="7"/>
        <v>Feb</v>
      </c>
      <c r="O64">
        <f t="shared" si="8"/>
        <v>1</v>
      </c>
      <c r="P64">
        <f>VLOOKUP(F64,Products!A:C,3,FALSE)</f>
        <v>1178</v>
      </c>
      <c r="Q64" s="12">
        <f t="shared" si="9"/>
        <v>2888</v>
      </c>
    </row>
    <row r="65" ht="15">
      <c r="A65" s="7" t="s">
        <v>157</v>
      </c>
      <c r="B65" s="8">
        <v>45698</v>
      </c>
      <c r="C65" s="7" t="s">
        <v>40</v>
      </c>
      <c r="D65" s="7" t="s">
        <v>80</v>
      </c>
      <c r="E65" s="7" t="s">
        <v>19</v>
      </c>
      <c r="F65" s="7" t="s">
        <v>77</v>
      </c>
      <c r="G65" s="7">
        <v>4</v>
      </c>
      <c r="H65" s="9">
        <v>520</v>
      </c>
      <c r="I65" s="10">
        <v>0</v>
      </c>
      <c r="J65" s="7" t="s">
        <v>83</v>
      </c>
      <c r="K65" s="7" t="s">
        <v>71</v>
      </c>
      <c r="L65" s="7" t="s">
        <v>78</v>
      </c>
      <c r="M65" s="11">
        <f t="shared" si="6"/>
        <v>2080</v>
      </c>
      <c r="N65" t="str">
        <f t="shared" si="7"/>
        <v>Feb</v>
      </c>
      <c r="O65">
        <f t="shared" si="8"/>
        <v>1</v>
      </c>
      <c r="P65">
        <f>VLOOKUP(F65,Products!A:C,3,FALSE)</f>
        <v>322</v>
      </c>
      <c r="Q65" s="12">
        <f t="shared" si="9"/>
        <v>792</v>
      </c>
    </row>
    <row r="66" ht="15">
      <c r="A66" s="7" t="s">
        <v>158</v>
      </c>
      <c r="B66" s="8">
        <v>45698</v>
      </c>
      <c r="C66" s="7" t="s">
        <v>40</v>
      </c>
      <c r="D66" s="7" t="s">
        <v>98</v>
      </c>
      <c r="E66" s="7" t="s">
        <v>24</v>
      </c>
      <c r="F66" s="7" t="s">
        <v>26</v>
      </c>
      <c r="G66" s="7">
        <v>3</v>
      </c>
      <c r="H66" s="9">
        <v>3100</v>
      </c>
      <c r="I66" s="10">
        <v>5.0000000000000003e-002</v>
      </c>
      <c r="J66" s="7" t="s">
        <v>83</v>
      </c>
      <c r="K66" s="7" t="s">
        <v>65</v>
      </c>
      <c r="L66" s="7" t="s">
        <v>90</v>
      </c>
      <c r="M66" s="11">
        <f t="shared" si="6"/>
        <v>8835</v>
      </c>
      <c r="N66" t="str">
        <f t="shared" si="7"/>
        <v>Feb</v>
      </c>
      <c r="O66">
        <f t="shared" si="8"/>
        <v>1</v>
      </c>
      <c r="P66">
        <f>VLOOKUP(F66,Products!A:C,3,FALSE)</f>
        <v>1922</v>
      </c>
      <c r="Q66" s="12">
        <f t="shared" si="9"/>
        <v>3069</v>
      </c>
    </row>
    <row r="67" ht="15">
      <c r="A67" s="7" t="s">
        <v>159</v>
      </c>
      <c r="B67" s="8">
        <v>45698</v>
      </c>
      <c r="C67" s="7" t="s">
        <v>28</v>
      </c>
      <c r="D67" s="7" t="s">
        <v>112</v>
      </c>
      <c r="E67" s="7" t="s">
        <v>24</v>
      </c>
      <c r="F67" s="7" t="s">
        <v>35</v>
      </c>
      <c r="G67" s="7">
        <v>4</v>
      </c>
      <c r="H67" s="9">
        <v>8200</v>
      </c>
      <c r="I67" s="10">
        <v>0</v>
      </c>
      <c r="J67" s="7" t="s">
        <v>103</v>
      </c>
      <c r="K67" s="7" t="s">
        <v>65</v>
      </c>
      <c r="L67" s="7" t="s">
        <v>90</v>
      </c>
      <c r="M67" s="11">
        <f t="shared" si="6"/>
        <v>32800</v>
      </c>
      <c r="N67" t="str">
        <f t="shared" si="7"/>
        <v>Feb</v>
      </c>
      <c r="O67">
        <f t="shared" si="8"/>
        <v>1</v>
      </c>
      <c r="P67">
        <f>VLOOKUP(F67,Products!A:C,3,FALSE)</f>
        <v>5084</v>
      </c>
      <c r="Q67" s="12">
        <f t="shared" si="9"/>
        <v>12464</v>
      </c>
    </row>
    <row r="68" ht="15">
      <c r="A68" s="7" t="s">
        <v>160</v>
      </c>
      <c r="B68" s="8">
        <v>45699</v>
      </c>
      <c r="C68" s="7" t="s">
        <v>40</v>
      </c>
      <c r="D68" s="7" t="s">
        <v>85</v>
      </c>
      <c r="E68" s="7" t="s">
        <v>34</v>
      </c>
      <c r="F68" s="7" t="s">
        <v>69</v>
      </c>
      <c r="G68" s="7">
        <v>10</v>
      </c>
      <c r="H68" s="9">
        <v>120</v>
      </c>
      <c r="I68" s="10">
        <v>0</v>
      </c>
      <c r="J68" s="7" t="s">
        <v>64</v>
      </c>
      <c r="K68" s="7" t="s">
        <v>65</v>
      </c>
      <c r="L68" s="7" t="s">
        <v>78</v>
      </c>
      <c r="M68" s="11">
        <f t="shared" si="6"/>
        <v>1200</v>
      </c>
      <c r="N68" t="str">
        <f t="shared" si="7"/>
        <v>Feb</v>
      </c>
      <c r="O68">
        <f t="shared" si="8"/>
        <v>1</v>
      </c>
      <c r="P68">
        <f>VLOOKUP(F68,Products!A:C,3,FALSE)</f>
        <v>74</v>
      </c>
      <c r="Q68" s="12">
        <f t="shared" si="9"/>
        <v>460</v>
      </c>
    </row>
    <row r="69" ht="15">
      <c r="A69" s="7" t="s">
        <v>161</v>
      </c>
      <c r="B69" s="8">
        <v>45699</v>
      </c>
      <c r="C69" s="7" t="s">
        <v>36</v>
      </c>
      <c r="D69" s="7" t="s">
        <v>76</v>
      </c>
      <c r="E69" s="7" t="s">
        <v>19</v>
      </c>
      <c r="F69" s="7" t="s">
        <v>77</v>
      </c>
      <c r="G69" s="7">
        <v>2</v>
      </c>
      <c r="H69" s="9">
        <v>520</v>
      </c>
      <c r="I69" s="10">
        <v>0</v>
      </c>
      <c r="J69" s="7" t="s">
        <v>103</v>
      </c>
      <c r="K69" s="7" t="s">
        <v>65</v>
      </c>
      <c r="L69" s="7" t="s">
        <v>90</v>
      </c>
      <c r="M69" s="11">
        <f t="shared" si="6"/>
        <v>1040</v>
      </c>
      <c r="N69" t="str">
        <f t="shared" si="7"/>
        <v>Feb</v>
      </c>
      <c r="O69">
        <f t="shared" si="8"/>
        <v>1</v>
      </c>
      <c r="P69">
        <f>VLOOKUP(F69,Products!A:C,3,FALSE)</f>
        <v>322</v>
      </c>
      <c r="Q69" s="12">
        <f t="shared" si="9"/>
        <v>396</v>
      </c>
    </row>
    <row r="70" ht="15">
      <c r="A70" s="7" t="s">
        <v>162</v>
      </c>
      <c r="B70" s="8">
        <v>45701</v>
      </c>
      <c r="C70" s="7" t="s">
        <v>23</v>
      </c>
      <c r="D70" s="7" t="s">
        <v>105</v>
      </c>
      <c r="E70" s="7" t="s">
        <v>19</v>
      </c>
      <c r="F70" s="7" t="s">
        <v>73</v>
      </c>
      <c r="G70" s="7">
        <v>4</v>
      </c>
      <c r="H70" s="9">
        <v>650</v>
      </c>
      <c r="I70" s="10">
        <v>0.10000000000000001</v>
      </c>
      <c r="J70" s="7" t="s">
        <v>103</v>
      </c>
      <c r="K70" s="7" t="s">
        <v>71</v>
      </c>
      <c r="L70" s="7" t="s">
        <v>78</v>
      </c>
      <c r="M70" s="11">
        <f t="shared" si="6"/>
        <v>2340</v>
      </c>
      <c r="N70" t="str">
        <f t="shared" si="7"/>
        <v>Feb</v>
      </c>
      <c r="O70">
        <f t="shared" si="8"/>
        <v>1</v>
      </c>
      <c r="P70">
        <f>VLOOKUP(F70,Products!A:C,3,FALSE)</f>
        <v>403</v>
      </c>
      <c r="Q70" s="12">
        <f t="shared" si="9"/>
        <v>728</v>
      </c>
    </row>
    <row r="71" ht="15">
      <c r="A71" s="7" t="s">
        <v>163</v>
      </c>
      <c r="B71" s="8">
        <v>45701</v>
      </c>
      <c r="C71" s="7" t="s">
        <v>40</v>
      </c>
      <c r="D71" s="7" t="s">
        <v>98</v>
      </c>
      <c r="E71" s="7" t="s">
        <v>24</v>
      </c>
      <c r="F71" s="7" t="s">
        <v>26</v>
      </c>
      <c r="G71" s="7">
        <v>4</v>
      </c>
      <c r="H71" s="9">
        <v>3100</v>
      </c>
      <c r="I71" s="10">
        <v>0</v>
      </c>
      <c r="J71" s="7" t="s">
        <v>93</v>
      </c>
      <c r="K71" s="7" t="s">
        <v>65</v>
      </c>
      <c r="L71" s="7" t="s">
        <v>78</v>
      </c>
      <c r="M71" s="11">
        <f t="shared" si="6"/>
        <v>12400</v>
      </c>
      <c r="N71" t="str">
        <f t="shared" si="7"/>
        <v>Feb</v>
      </c>
      <c r="O71">
        <f t="shared" si="8"/>
        <v>1</v>
      </c>
      <c r="P71">
        <f>VLOOKUP(F71,Products!A:C,3,FALSE)</f>
        <v>1922</v>
      </c>
      <c r="Q71" s="12">
        <f t="shared" si="9"/>
        <v>4712</v>
      </c>
    </row>
    <row r="72" ht="15">
      <c r="A72" s="7" t="s">
        <v>164</v>
      </c>
      <c r="B72" s="8">
        <v>45702</v>
      </c>
      <c r="C72" s="7" t="s">
        <v>40</v>
      </c>
      <c r="D72" s="7" t="s">
        <v>80</v>
      </c>
      <c r="E72" s="7" t="s">
        <v>24</v>
      </c>
      <c r="F72" s="7" t="s">
        <v>38</v>
      </c>
      <c r="G72" s="7">
        <v>4</v>
      </c>
      <c r="H72" s="9">
        <v>12500</v>
      </c>
      <c r="I72" s="10">
        <v>0</v>
      </c>
      <c r="J72" s="7" t="s">
        <v>103</v>
      </c>
      <c r="K72" s="7" t="s">
        <v>71</v>
      </c>
      <c r="L72" s="7" t="s">
        <v>90</v>
      </c>
      <c r="M72" s="11">
        <f t="shared" si="6"/>
        <v>50000</v>
      </c>
      <c r="N72" t="str">
        <f t="shared" si="7"/>
        <v>Feb</v>
      </c>
      <c r="O72">
        <f t="shared" si="8"/>
        <v>1</v>
      </c>
      <c r="P72">
        <f>VLOOKUP(F72,Products!A:C,3,FALSE)</f>
        <v>7750</v>
      </c>
      <c r="Q72" s="12">
        <f t="shared" si="9"/>
        <v>19000</v>
      </c>
    </row>
    <row r="73" ht="15">
      <c r="A73" s="7" t="s">
        <v>165</v>
      </c>
      <c r="B73" s="8">
        <v>45703</v>
      </c>
      <c r="C73" s="7" t="s">
        <v>33</v>
      </c>
      <c r="D73" s="7" t="s">
        <v>102</v>
      </c>
      <c r="E73" s="7" t="s">
        <v>34</v>
      </c>
      <c r="F73" s="7" t="s">
        <v>92</v>
      </c>
      <c r="G73" s="7">
        <v>14</v>
      </c>
      <c r="H73" s="9">
        <v>85</v>
      </c>
      <c r="I73" s="10">
        <v>0</v>
      </c>
      <c r="J73" s="7" t="s">
        <v>70</v>
      </c>
      <c r="K73" s="7" t="s">
        <v>65</v>
      </c>
      <c r="L73" s="7" t="s">
        <v>66</v>
      </c>
      <c r="M73" s="11">
        <f t="shared" si="6"/>
        <v>1190</v>
      </c>
      <c r="N73" t="str">
        <f t="shared" si="7"/>
        <v>Feb</v>
      </c>
      <c r="O73">
        <f t="shared" si="8"/>
        <v>1</v>
      </c>
      <c r="P73">
        <f>VLOOKUP(F73,Products!A:C,3,FALSE)</f>
        <v>53</v>
      </c>
      <c r="Q73" s="12">
        <f t="shared" si="9"/>
        <v>448</v>
      </c>
    </row>
    <row r="74" ht="15">
      <c r="A74" s="7" t="s">
        <v>166</v>
      </c>
      <c r="B74" s="8">
        <v>45704</v>
      </c>
      <c r="C74" s="7" t="s">
        <v>33</v>
      </c>
      <c r="D74" s="7" t="s">
        <v>102</v>
      </c>
      <c r="E74" s="7" t="s">
        <v>24</v>
      </c>
      <c r="F74" s="7" t="s">
        <v>96</v>
      </c>
      <c r="G74" s="7">
        <v>1</v>
      </c>
      <c r="H74" s="9">
        <v>1450</v>
      </c>
      <c r="I74" s="10">
        <v>0.10000000000000001</v>
      </c>
      <c r="J74" s="7" t="s">
        <v>93</v>
      </c>
      <c r="K74" s="7" t="s">
        <v>65</v>
      </c>
      <c r="L74" s="7" t="s">
        <v>78</v>
      </c>
      <c r="M74" s="11">
        <f t="shared" ref="M74:M99" si="10">G74*H74*(1-I74)</f>
        <v>1305</v>
      </c>
      <c r="N74" t="str">
        <f t="shared" ref="N74:N99" si="11">TEXT(B74,"mmm")</f>
        <v>Feb</v>
      </c>
      <c r="O74">
        <f t="shared" ref="O74:O99" si="12">ROUNDUP(MONTH(B74)/3,0)</f>
        <v>1</v>
      </c>
      <c r="P74">
        <f>VLOOKUP(F74,Products!A:C,3,FALSE)</f>
        <v>899</v>
      </c>
      <c r="Q74" s="12">
        <f t="shared" ref="Q74:Q99" si="13">M74-(G74*P74)</f>
        <v>406</v>
      </c>
    </row>
    <row r="75" ht="15">
      <c r="A75" s="7" t="s">
        <v>167</v>
      </c>
      <c r="B75" s="8">
        <v>45704</v>
      </c>
      <c r="C75" s="7" t="s">
        <v>18</v>
      </c>
      <c r="D75" s="7" t="s">
        <v>63</v>
      </c>
      <c r="E75" s="7" t="s">
        <v>29</v>
      </c>
      <c r="F75" s="7" t="s">
        <v>21</v>
      </c>
      <c r="G75" s="7">
        <v>4</v>
      </c>
      <c r="H75" s="9">
        <v>3600</v>
      </c>
      <c r="I75" s="10">
        <v>0</v>
      </c>
      <c r="J75" s="7" t="s">
        <v>93</v>
      </c>
      <c r="K75" s="7" t="s">
        <v>71</v>
      </c>
      <c r="L75" s="7" t="s">
        <v>66</v>
      </c>
      <c r="M75" s="11">
        <f t="shared" si="10"/>
        <v>14400</v>
      </c>
      <c r="N75" t="str">
        <f t="shared" si="11"/>
        <v>Feb</v>
      </c>
      <c r="O75">
        <f t="shared" si="12"/>
        <v>1</v>
      </c>
      <c r="P75">
        <f>VLOOKUP(F75,Products!A:C,3,FALSE)</f>
        <v>2232</v>
      </c>
      <c r="Q75" s="12">
        <f t="shared" si="13"/>
        <v>5472</v>
      </c>
    </row>
    <row r="76" ht="15">
      <c r="A76" s="7" t="s">
        <v>168</v>
      </c>
      <c r="B76" s="8">
        <v>45705</v>
      </c>
      <c r="C76" s="7" t="s">
        <v>40</v>
      </c>
      <c r="D76" s="7" t="s">
        <v>98</v>
      </c>
      <c r="E76" s="7" t="s">
        <v>19</v>
      </c>
      <c r="F76" s="7" t="s">
        <v>106</v>
      </c>
      <c r="G76" s="7">
        <v>1</v>
      </c>
      <c r="H76" s="9">
        <v>180</v>
      </c>
      <c r="I76" s="10">
        <v>0.10000000000000001</v>
      </c>
      <c r="J76" s="7" t="s">
        <v>89</v>
      </c>
      <c r="K76" s="7" t="s">
        <v>71</v>
      </c>
      <c r="L76" s="7" t="s">
        <v>74</v>
      </c>
      <c r="M76" s="11">
        <f t="shared" si="10"/>
        <v>162</v>
      </c>
      <c r="N76" t="str">
        <f t="shared" si="11"/>
        <v>Feb</v>
      </c>
      <c r="O76">
        <f t="shared" si="12"/>
        <v>1</v>
      </c>
      <c r="P76">
        <f>VLOOKUP(F76,Products!A:C,3,FALSE)</f>
        <v>112</v>
      </c>
      <c r="Q76" s="12">
        <f t="shared" si="13"/>
        <v>50</v>
      </c>
    </row>
    <row r="77" ht="15">
      <c r="A77" s="7" t="s">
        <v>169</v>
      </c>
      <c r="B77" s="8">
        <v>45705</v>
      </c>
      <c r="C77" s="7" t="s">
        <v>40</v>
      </c>
      <c r="D77" s="7" t="s">
        <v>85</v>
      </c>
      <c r="E77" s="7" t="s">
        <v>24</v>
      </c>
      <c r="F77" s="7" t="s">
        <v>38</v>
      </c>
      <c r="G77" s="7">
        <v>2</v>
      </c>
      <c r="H77" s="9">
        <v>12500</v>
      </c>
      <c r="I77" s="10">
        <v>0.14999999999999999</v>
      </c>
      <c r="J77" s="7" t="s">
        <v>70</v>
      </c>
      <c r="K77" s="7" t="s">
        <v>71</v>
      </c>
      <c r="L77" s="7" t="s">
        <v>90</v>
      </c>
      <c r="M77" s="11">
        <f t="shared" si="10"/>
        <v>21250</v>
      </c>
      <c r="N77" t="str">
        <f t="shared" si="11"/>
        <v>Feb</v>
      </c>
      <c r="O77">
        <f t="shared" si="12"/>
        <v>1</v>
      </c>
      <c r="P77">
        <f>VLOOKUP(F77,Products!A:C,3,FALSE)</f>
        <v>7750</v>
      </c>
      <c r="Q77" s="12">
        <f t="shared" si="13"/>
        <v>5750</v>
      </c>
    </row>
    <row r="78" ht="15">
      <c r="A78" s="7" t="s">
        <v>170</v>
      </c>
      <c r="B78" s="8">
        <v>45707</v>
      </c>
      <c r="C78" s="7" t="s">
        <v>40</v>
      </c>
      <c r="D78" s="7" t="s">
        <v>98</v>
      </c>
      <c r="E78" s="7" t="s">
        <v>34</v>
      </c>
      <c r="F78" s="7" t="s">
        <v>86</v>
      </c>
      <c r="G78" s="7">
        <v>9</v>
      </c>
      <c r="H78" s="9">
        <v>210</v>
      </c>
      <c r="I78" s="10">
        <v>0.14999999999999999</v>
      </c>
      <c r="J78" s="7" t="s">
        <v>70</v>
      </c>
      <c r="K78" s="7" t="s">
        <v>65</v>
      </c>
      <c r="L78" s="7" t="s">
        <v>74</v>
      </c>
      <c r="M78" s="11">
        <f t="shared" si="10"/>
        <v>1606.5</v>
      </c>
      <c r="N78" t="str">
        <f t="shared" si="11"/>
        <v>Feb</v>
      </c>
      <c r="O78">
        <f t="shared" si="12"/>
        <v>1</v>
      </c>
      <c r="P78">
        <f>VLOOKUP(F78,Products!A:C,3,FALSE)</f>
        <v>130</v>
      </c>
      <c r="Q78" s="12">
        <f t="shared" si="13"/>
        <v>436.5</v>
      </c>
    </row>
    <row r="79" ht="15">
      <c r="A79" s="7" t="s">
        <v>171</v>
      </c>
      <c r="B79" s="8">
        <v>45708</v>
      </c>
      <c r="C79" s="7" t="s">
        <v>23</v>
      </c>
      <c r="D79" s="7" t="s">
        <v>95</v>
      </c>
      <c r="E79" s="7" t="s">
        <v>24</v>
      </c>
      <c r="F79" s="7" t="s">
        <v>38</v>
      </c>
      <c r="G79" s="7">
        <v>3</v>
      </c>
      <c r="H79" s="9">
        <v>12500</v>
      </c>
      <c r="I79" s="10">
        <v>0</v>
      </c>
      <c r="J79" s="7" t="s">
        <v>83</v>
      </c>
      <c r="K79" s="7" t="s">
        <v>65</v>
      </c>
      <c r="L79" s="7" t="s">
        <v>90</v>
      </c>
      <c r="M79" s="11">
        <f t="shared" si="10"/>
        <v>37500</v>
      </c>
      <c r="N79" t="str">
        <f t="shared" si="11"/>
        <v>Feb</v>
      </c>
      <c r="O79">
        <f t="shared" si="12"/>
        <v>1</v>
      </c>
      <c r="P79">
        <f>VLOOKUP(F79,Products!A:C,3,FALSE)</f>
        <v>7750</v>
      </c>
      <c r="Q79" s="12">
        <f t="shared" si="13"/>
        <v>14250</v>
      </c>
    </row>
    <row r="80" ht="15">
      <c r="A80" s="7" t="s">
        <v>172</v>
      </c>
      <c r="B80" s="8">
        <v>45708</v>
      </c>
      <c r="C80" s="7" t="s">
        <v>40</v>
      </c>
      <c r="D80" s="7" t="s">
        <v>80</v>
      </c>
      <c r="E80" s="7" t="s">
        <v>24</v>
      </c>
      <c r="F80" s="7" t="s">
        <v>26</v>
      </c>
      <c r="G80" s="7">
        <v>2</v>
      </c>
      <c r="H80" s="9">
        <v>3100</v>
      </c>
      <c r="I80" s="10">
        <v>0</v>
      </c>
      <c r="J80" s="7" t="s">
        <v>93</v>
      </c>
      <c r="K80" s="7" t="s">
        <v>71</v>
      </c>
      <c r="L80" s="7" t="s">
        <v>78</v>
      </c>
      <c r="M80" s="11">
        <f t="shared" si="10"/>
        <v>6200</v>
      </c>
      <c r="N80" t="str">
        <f t="shared" si="11"/>
        <v>Feb</v>
      </c>
      <c r="O80">
        <f t="shared" si="12"/>
        <v>1</v>
      </c>
      <c r="P80">
        <f>VLOOKUP(F80,Products!A:C,3,FALSE)</f>
        <v>1922</v>
      </c>
      <c r="Q80" s="12">
        <f t="shared" si="13"/>
        <v>2356</v>
      </c>
    </row>
    <row r="81" ht="15">
      <c r="A81" s="7" t="s">
        <v>173</v>
      </c>
      <c r="B81" s="8">
        <v>45708</v>
      </c>
      <c r="C81" s="7" t="s">
        <v>36</v>
      </c>
      <c r="D81" s="7" t="s">
        <v>76</v>
      </c>
      <c r="E81" s="7" t="s">
        <v>19</v>
      </c>
      <c r="F81" s="7" t="s">
        <v>77</v>
      </c>
      <c r="G81" s="7">
        <v>1</v>
      </c>
      <c r="H81" s="9">
        <v>520</v>
      </c>
      <c r="I81" s="10">
        <v>0</v>
      </c>
      <c r="J81" s="7" t="s">
        <v>70</v>
      </c>
      <c r="K81" s="7" t="s">
        <v>71</v>
      </c>
      <c r="L81" s="7" t="s">
        <v>90</v>
      </c>
      <c r="M81" s="11">
        <f t="shared" si="10"/>
        <v>520</v>
      </c>
      <c r="N81" t="str">
        <f t="shared" si="11"/>
        <v>Feb</v>
      </c>
      <c r="O81">
        <f t="shared" si="12"/>
        <v>1</v>
      </c>
      <c r="P81">
        <f>VLOOKUP(F81,Products!A:C,3,FALSE)</f>
        <v>322</v>
      </c>
      <c r="Q81" s="12">
        <f t="shared" si="13"/>
        <v>198</v>
      </c>
    </row>
    <row r="82" ht="15">
      <c r="A82" s="7" t="s">
        <v>174</v>
      </c>
      <c r="B82" s="8">
        <v>45709</v>
      </c>
      <c r="C82" s="7" t="s">
        <v>40</v>
      </c>
      <c r="D82" s="7" t="s">
        <v>98</v>
      </c>
      <c r="E82" s="7" t="s">
        <v>29</v>
      </c>
      <c r="F82" s="7" t="s">
        <v>21</v>
      </c>
      <c r="G82" s="7">
        <v>4</v>
      </c>
      <c r="H82" s="9">
        <v>3600</v>
      </c>
      <c r="I82" s="10">
        <v>0.14999999999999999</v>
      </c>
      <c r="J82" s="7" t="s">
        <v>70</v>
      </c>
      <c r="K82" s="7" t="s">
        <v>65</v>
      </c>
      <c r="L82" s="7" t="s">
        <v>66</v>
      </c>
      <c r="M82" s="11">
        <f t="shared" si="10"/>
        <v>12240</v>
      </c>
      <c r="N82" t="str">
        <f t="shared" si="11"/>
        <v>Feb</v>
      </c>
      <c r="O82">
        <f t="shared" si="12"/>
        <v>1</v>
      </c>
      <c r="P82">
        <f>VLOOKUP(F82,Products!A:C,3,FALSE)</f>
        <v>2232</v>
      </c>
      <c r="Q82" s="12">
        <f t="shared" si="13"/>
        <v>3312</v>
      </c>
    </row>
    <row r="83" ht="15">
      <c r="A83" s="7" t="s">
        <v>175</v>
      </c>
      <c r="B83" s="8">
        <v>45709</v>
      </c>
      <c r="C83" s="7" t="s">
        <v>40</v>
      </c>
      <c r="D83" s="7" t="s">
        <v>85</v>
      </c>
      <c r="E83" s="7" t="s">
        <v>19</v>
      </c>
      <c r="F83" s="7" t="s">
        <v>106</v>
      </c>
      <c r="G83" s="7">
        <v>1</v>
      </c>
      <c r="H83" s="9">
        <v>180</v>
      </c>
      <c r="I83" s="10">
        <v>5.0000000000000003e-002</v>
      </c>
      <c r="J83" s="7" t="s">
        <v>83</v>
      </c>
      <c r="K83" s="7" t="s">
        <v>71</v>
      </c>
      <c r="L83" s="7" t="s">
        <v>74</v>
      </c>
      <c r="M83" s="11">
        <f t="shared" si="10"/>
        <v>171</v>
      </c>
      <c r="N83" t="str">
        <f t="shared" si="11"/>
        <v>Feb</v>
      </c>
      <c r="O83">
        <f t="shared" si="12"/>
        <v>1</v>
      </c>
      <c r="P83">
        <f>VLOOKUP(F83,Products!A:C,3,FALSE)</f>
        <v>112</v>
      </c>
      <c r="Q83" s="12">
        <f t="shared" si="13"/>
        <v>59</v>
      </c>
    </row>
    <row r="84" ht="15">
      <c r="A84" s="7" t="s">
        <v>176</v>
      </c>
      <c r="B84" s="8">
        <v>45709</v>
      </c>
      <c r="C84" s="7" t="s">
        <v>40</v>
      </c>
      <c r="D84" s="7" t="s">
        <v>98</v>
      </c>
      <c r="E84" s="7" t="s">
        <v>34</v>
      </c>
      <c r="F84" s="7" t="s">
        <v>69</v>
      </c>
      <c r="G84" s="7">
        <v>10</v>
      </c>
      <c r="H84" s="9">
        <v>120</v>
      </c>
      <c r="I84" s="10">
        <v>0</v>
      </c>
      <c r="J84" s="7" t="s">
        <v>89</v>
      </c>
      <c r="K84" s="7" t="s">
        <v>65</v>
      </c>
      <c r="L84" s="7" t="s">
        <v>90</v>
      </c>
      <c r="M84" s="11">
        <f t="shared" si="10"/>
        <v>1200</v>
      </c>
      <c r="N84" t="str">
        <f t="shared" si="11"/>
        <v>Feb</v>
      </c>
      <c r="O84">
        <f t="shared" si="12"/>
        <v>1</v>
      </c>
      <c r="P84">
        <f>VLOOKUP(F84,Products!A:C,3,FALSE)</f>
        <v>74</v>
      </c>
      <c r="Q84" s="12">
        <f t="shared" si="13"/>
        <v>460</v>
      </c>
    </row>
    <row r="85" ht="15">
      <c r="A85" s="7" t="s">
        <v>177</v>
      </c>
      <c r="B85" s="8">
        <v>45709</v>
      </c>
      <c r="C85" s="7" t="s">
        <v>36</v>
      </c>
      <c r="D85" s="7" t="s">
        <v>114</v>
      </c>
      <c r="E85" s="7" t="s">
        <v>34</v>
      </c>
      <c r="F85" s="7" t="s">
        <v>92</v>
      </c>
      <c r="G85" s="7">
        <v>33</v>
      </c>
      <c r="H85" s="9">
        <v>85</v>
      </c>
      <c r="I85" s="10">
        <v>0</v>
      </c>
      <c r="J85" s="7" t="s">
        <v>70</v>
      </c>
      <c r="K85" s="7" t="s">
        <v>65</v>
      </c>
      <c r="L85" s="7" t="s">
        <v>66</v>
      </c>
      <c r="M85" s="11">
        <f t="shared" si="10"/>
        <v>2805</v>
      </c>
      <c r="N85" t="str">
        <f t="shared" si="11"/>
        <v>Feb</v>
      </c>
      <c r="O85">
        <f t="shared" si="12"/>
        <v>1</v>
      </c>
      <c r="P85">
        <f>VLOOKUP(F85,Products!A:C,3,FALSE)</f>
        <v>53</v>
      </c>
      <c r="Q85" s="12">
        <f t="shared" si="13"/>
        <v>1056</v>
      </c>
    </row>
    <row r="86" ht="15">
      <c r="A86" s="7" t="s">
        <v>178</v>
      </c>
      <c r="B86" s="8">
        <v>45710</v>
      </c>
      <c r="C86" s="7" t="s">
        <v>28</v>
      </c>
      <c r="D86" s="7" t="s">
        <v>112</v>
      </c>
      <c r="E86" s="7" t="s">
        <v>34</v>
      </c>
      <c r="F86" s="7" t="s">
        <v>92</v>
      </c>
      <c r="G86" s="7">
        <v>8</v>
      </c>
      <c r="H86" s="9">
        <v>85</v>
      </c>
      <c r="I86" s="10">
        <v>0</v>
      </c>
      <c r="J86" s="7" t="s">
        <v>89</v>
      </c>
      <c r="K86" s="7" t="s">
        <v>65</v>
      </c>
      <c r="L86" s="7" t="s">
        <v>66</v>
      </c>
      <c r="M86" s="11">
        <f t="shared" si="10"/>
        <v>680</v>
      </c>
      <c r="N86" t="str">
        <f t="shared" si="11"/>
        <v>Feb</v>
      </c>
      <c r="O86">
        <f t="shared" si="12"/>
        <v>1</v>
      </c>
      <c r="P86">
        <f>VLOOKUP(F86,Products!A:C,3,FALSE)</f>
        <v>53</v>
      </c>
      <c r="Q86" s="12">
        <f t="shared" si="13"/>
        <v>256</v>
      </c>
    </row>
    <row r="87" ht="15">
      <c r="A87" s="7" t="s">
        <v>179</v>
      </c>
      <c r="B87" s="8">
        <v>45711</v>
      </c>
      <c r="C87" s="7" t="s">
        <v>23</v>
      </c>
      <c r="D87" s="7" t="s">
        <v>95</v>
      </c>
      <c r="E87" s="7" t="s">
        <v>34</v>
      </c>
      <c r="F87" s="7" t="s">
        <v>69</v>
      </c>
      <c r="G87" s="7">
        <v>6</v>
      </c>
      <c r="H87" s="9">
        <v>120</v>
      </c>
      <c r="I87" s="10">
        <v>0</v>
      </c>
      <c r="J87" s="7" t="s">
        <v>83</v>
      </c>
      <c r="K87" s="7" t="s">
        <v>71</v>
      </c>
      <c r="L87" s="7" t="s">
        <v>90</v>
      </c>
      <c r="M87" s="11">
        <f t="shared" si="10"/>
        <v>720</v>
      </c>
      <c r="N87" t="str">
        <f t="shared" si="11"/>
        <v>Feb</v>
      </c>
      <c r="O87">
        <f t="shared" si="12"/>
        <v>1</v>
      </c>
      <c r="P87">
        <f>VLOOKUP(F87,Products!A:C,3,FALSE)</f>
        <v>74</v>
      </c>
      <c r="Q87" s="12">
        <f t="shared" si="13"/>
        <v>276</v>
      </c>
    </row>
    <row r="88" ht="15">
      <c r="A88" s="7" t="s">
        <v>180</v>
      </c>
      <c r="B88" s="8">
        <v>45711</v>
      </c>
      <c r="C88" s="7" t="s">
        <v>40</v>
      </c>
      <c r="D88" s="7" t="s">
        <v>98</v>
      </c>
      <c r="E88" s="7" t="s">
        <v>24</v>
      </c>
      <c r="F88" s="7" t="s">
        <v>38</v>
      </c>
      <c r="G88" s="7">
        <v>3</v>
      </c>
      <c r="H88" s="9">
        <v>12500</v>
      </c>
      <c r="I88" s="10">
        <v>0</v>
      </c>
      <c r="J88" s="7" t="s">
        <v>70</v>
      </c>
      <c r="K88" s="7" t="s">
        <v>71</v>
      </c>
      <c r="L88" s="7" t="s">
        <v>78</v>
      </c>
      <c r="M88" s="11">
        <f t="shared" si="10"/>
        <v>37500</v>
      </c>
      <c r="N88" t="str">
        <f t="shared" si="11"/>
        <v>Feb</v>
      </c>
      <c r="O88">
        <f t="shared" si="12"/>
        <v>1</v>
      </c>
      <c r="P88">
        <f>VLOOKUP(F88,Products!A:C,3,FALSE)</f>
        <v>7750</v>
      </c>
      <c r="Q88" s="12">
        <f t="shared" si="13"/>
        <v>14250</v>
      </c>
    </row>
    <row r="89" ht="15">
      <c r="A89" s="7" t="s">
        <v>181</v>
      </c>
      <c r="B89" s="8">
        <v>45712</v>
      </c>
      <c r="C89" s="7" t="s">
        <v>40</v>
      </c>
      <c r="D89" s="7" t="s">
        <v>85</v>
      </c>
      <c r="E89" s="7" t="s">
        <v>34</v>
      </c>
      <c r="F89" s="7" t="s">
        <v>92</v>
      </c>
      <c r="G89" s="7">
        <v>28</v>
      </c>
      <c r="H89" s="9">
        <v>85</v>
      </c>
      <c r="I89" s="10">
        <v>0</v>
      </c>
      <c r="J89" s="7" t="s">
        <v>70</v>
      </c>
      <c r="K89" s="7" t="s">
        <v>71</v>
      </c>
      <c r="L89" s="7" t="s">
        <v>74</v>
      </c>
      <c r="M89" s="11">
        <f t="shared" si="10"/>
        <v>2380</v>
      </c>
      <c r="N89" t="str">
        <f t="shared" si="11"/>
        <v>Feb</v>
      </c>
      <c r="O89">
        <f t="shared" si="12"/>
        <v>1</v>
      </c>
      <c r="P89">
        <f>VLOOKUP(F89,Products!A:C,3,FALSE)</f>
        <v>53</v>
      </c>
      <c r="Q89" s="12">
        <f t="shared" si="13"/>
        <v>896</v>
      </c>
    </row>
    <row r="90" ht="15">
      <c r="A90" s="7" t="s">
        <v>182</v>
      </c>
      <c r="B90" s="8">
        <v>45712</v>
      </c>
      <c r="C90" s="7" t="s">
        <v>40</v>
      </c>
      <c r="D90" s="7" t="s">
        <v>85</v>
      </c>
      <c r="E90" s="7" t="s">
        <v>34</v>
      </c>
      <c r="F90" s="7" t="s">
        <v>69</v>
      </c>
      <c r="G90" s="7">
        <v>22</v>
      </c>
      <c r="H90" s="9">
        <v>120</v>
      </c>
      <c r="I90" s="10">
        <v>0</v>
      </c>
      <c r="J90" s="7" t="s">
        <v>103</v>
      </c>
      <c r="K90" s="7" t="s">
        <v>65</v>
      </c>
      <c r="L90" s="7" t="s">
        <v>74</v>
      </c>
      <c r="M90" s="11">
        <f t="shared" si="10"/>
        <v>2640</v>
      </c>
      <c r="N90" t="str">
        <f t="shared" si="11"/>
        <v>Feb</v>
      </c>
      <c r="O90">
        <f t="shared" si="12"/>
        <v>1</v>
      </c>
      <c r="P90">
        <f>VLOOKUP(F90,Products!A:C,3,FALSE)</f>
        <v>74</v>
      </c>
      <c r="Q90" s="12">
        <f t="shared" si="13"/>
        <v>1012</v>
      </c>
    </row>
    <row r="91" ht="15">
      <c r="A91" s="7" t="s">
        <v>183</v>
      </c>
      <c r="B91" s="8">
        <v>45712</v>
      </c>
      <c r="C91" s="7" t="s">
        <v>33</v>
      </c>
      <c r="D91" s="7" t="s">
        <v>102</v>
      </c>
      <c r="E91" s="7" t="s">
        <v>29</v>
      </c>
      <c r="F91" s="7" t="s">
        <v>81</v>
      </c>
      <c r="G91" s="7">
        <v>3</v>
      </c>
      <c r="H91" s="9">
        <v>1900</v>
      </c>
      <c r="I91" s="10">
        <v>0</v>
      </c>
      <c r="J91" s="7" t="s">
        <v>89</v>
      </c>
      <c r="K91" s="7" t="s">
        <v>65</v>
      </c>
      <c r="L91" s="7" t="s">
        <v>66</v>
      </c>
      <c r="M91" s="11">
        <f t="shared" si="10"/>
        <v>5700</v>
      </c>
      <c r="N91" t="str">
        <f t="shared" si="11"/>
        <v>Feb</v>
      </c>
      <c r="O91">
        <f t="shared" si="12"/>
        <v>1</v>
      </c>
      <c r="P91">
        <f>VLOOKUP(F91,Products!A:C,3,FALSE)</f>
        <v>1178</v>
      </c>
      <c r="Q91" s="12">
        <f t="shared" si="13"/>
        <v>2166</v>
      </c>
    </row>
    <row r="92" ht="15">
      <c r="A92" s="7" t="s">
        <v>184</v>
      </c>
      <c r="B92" s="8">
        <v>45712</v>
      </c>
      <c r="C92" s="7" t="s">
        <v>18</v>
      </c>
      <c r="D92" s="7" t="s">
        <v>63</v>
      </c>
      <c r="E92" s="7" t="s">
        <v>19</v>
      </c>
      <c r="F92" s="7" t="s">
        <v>73</v>
      </c>
      <c r="G92" s="7">
        <v>2</v>
      </c>
      <c r="H92" s="9">
        <v>650</v>
      </c>
      <c r="I92" s="10">
        <v>0</v>
      </c>
      <c r="J92" s="7" t="s">
        <v>64</v>
      </c>
      <c r="K92" s="7" t="s">
        <v>71</v>
      </c>
      <c r="L92" s="7" t="s">
        <v>90</v>
      </c>
      <c r="M92" s="11">
        <f t="shared" si="10"/>
        <v>1300</v>
      </c>
      <c r="N92" t="str">
        <f t="shared" si="11"/>
        <v>Feb</v>
      </c>
      <c r="O92">
        <f t="shared" si="12"/>
        <v>1</v>
      </c>
      <c r="P92">
        <f>VLOOKUP(F92,Products!A:C,3,FALSE)</f>
        <v>403</v>
      </c>
      <c r="Q92" s="12">
        <f t="shared" si="13"/>
        <v>494</v>
      </c>
    </row>
    <row r="93" ht="15">
      <c r="A93" s="7" t="s">
        <v>185</v>
      </c>
      <c r="B93" s="8">
        <v>45713</v>
      </c>
      <c r="C93" s="7" t="s">
        <v>18</v>
      </c>
      <c r="D93" s="7" t="s">
        <v>63</v>
      </c>
      <c r="E93" s="7" t="s">
        <v>24</v>
      </c>
      <c r="F93" s="7" t="s">
        <v>31</v>
      </c>
      <c r="G93" s="7">
        <v>1</v>
      </c>
      <c r="H93" s="9">
        <v>5400</v>
      </c>
      <c r="I93" s="10">
        <v>0.14999999999999999</v>
      </c>
      <c r="J93" s="7" t="s">
        <v>93</v>
      </c>
      <c r="K93" s="7" t="s">
        <v>71</v>
      </c>
      <c r="L93" s="7" t="s">
        <v>78</v>
      </c>
      <c r="M93" s="11">
        <f t="shared" si="10"/>
        <v>4590</v>
      </c>
      <c r="N93" t="str">
        <f t="shared" si="11"/>
        <v>Feb</v>
      </c>
      <c r="O93">
        <f t="shared" si="12"/>
        <v>1</v>
      </c>
      <c r="P93">
        <f>VLOOKUP(F93,Products!A:C,3,FALSE)</f>
        <v>3348</v>
      </c>
      <c r="Q93" s="12">
        <f t="shared" si="13"/>
        <v>1242</v>
      </c>
    </row>
    <row r="94" ht="15">
      <c r="A94" s="7" t="s">
        <v>186</v>
      </c>
      <c r="B94" s="8">
        <v>45713</v>
      </c>
      <c r="C94" s="7" t="s">
        <v>33</v>
      </c>
      <c r="D94" s="7" t="s">
        <v>68</v>
      </c>
      <c r="E94" s="7" t="s">
        <v>34</v>
      </c>
      <c r="F94" s="7" t="s">
        <v>69</v>
      </c>
      <c r="G94" s="7">
        <v>15</v>
      </c>
      <c r="H94" s="9">
        <v>120</v>
      </c>
      <c r="I94" s="10">
        <v>0.14999999999999999</v>
      </c>
      <c r="J94" s="7" t="s">
        <v>89</v>
      </c>
      <c r="K94" s="7" t="s">
        <v>71</v>
      </c>
      <c r="L94" s="7" t="s">
        <v>74</v>
      </c>
      <c r="M94" s="11">
        <f t="shared" si="10"/>
        <v>1530</v>
      </c>
      <c r="N94" t="str">
        <f t="shared" si="11"/>
        <v>Feb</v>
      </c>
      <c r="O94">
        <f t="shared" si="12"/>
        <v>1</v>
      </c>
      <c r="P94">
        <f>VLOOKUP(F94,Products!A:C,3,FALSE)</f>
        <v>74</v>
      </c>
      <c r="Q94" s="12">
        <f t="shared" si="13"/>
        <v>420</v>
      </c>
    </row>
    <row r="95" ht="15">
      <c r="A95" s="7" t="s">
        <v>187</v>
      </c>
      <c r="B95" s="8">
        <v>45713</v>
      </c>
      <c r="C95" s="7" t="s">
        <v>40</v>
      </c>
      <c r="D95" s="7" t="s">
        <v>98</v>
      </c>
      <c r="E95" s="7" t="s">
        <v>19</v>
      </c>
      <c r="F95" s="7" t="s">
        <v>106</v>
      </c>
      <c r="G95" s="7">
        <v>1</v>
      </c>
      <c r="H95" s="9">
        <v>180</v>
      </c>
      <c r="I95" s="10">
        <v>0</v>
      </c>
      <c r="J95" s="7" t="s">
        <v>64</v>
      </c>
      <c r="K95" s="7" t="s">
        <v>65</v>
      </c>
      <c r="L95" s="7" t="s">
        <v>90</v>
      </c>
      <c r="M95" s="11">
        <f t="shared" si="10"/>
        <v>180</v>
      </c>
      <c r="N95" t="str">
        <f t="shared" si="11"/>
        <v>Feb</v>
      </c>
      <c r="O95">
        <f t="shared" si="12"/>
        <v>1</v>
      </c>
      <c r="P95">
        <f>VLOOKUP(F95,Products!A:C,3,FALSE)</f>
        <v>112</v>
      </c>
      <c r="Q95" s="12">
        <f t="shared" si="13"/>
        <v>68</v>
      </c>
    </row>
    <row r="96" ht="15">
      <c r="A96" s="7" t="s">
        <v>188</v>
      </c>
      <c r="B96" s="8">
        <v>45714</v>
      </c>
      <c r="C96" s="7" t="s">
        <v>40</v>
      </c>
      <c r="D96" s="7" t="s">
        <v>80</v>
      </c>
      <c r="E96" s="7" t="s">
        <v>24</v>
      </c>
      <c r="F96" s="7" t="s">
        <v>38</v>
      </c>
      <c r="G96" s="7">
        <v>3</v>
      </c>
      <c r="H96" s="9">
        <v>12500</v>
      </c>
      <c r="I96" s="10">
        <v>5.0000000000000003e-002</v>
      </c>
      <c r="J96" s="7" t="s">
        <v>83</v>
      </c>
      <c r="K96" s="7" t="s">
        <v>65</v>
      </c>
      <c r="L96" s="7" t="s">
        <v>78</v>
      </c>
      <c r="M96" s="11">
        <f t="shared" si="10"/>
        <v>35625</v>
      </c>
      <c r="N96" t="str">
        <f t="shared" si="11"/>
        <v>Feb</v>
      </c>
      <c r="O96">
        <f t="shared" si="12"/>
        <v>1</v>
      </c>
      <c r="P96">
        <f>VLOOKUP(F96,Products!A:C,3,FALSE)</f>
        <v>7750</v>
      </c>
      <c r="Q96" s="12">
        <f t="shared" si="13"/>
        <v>12375</v>
      </c>
    </row>
    <row r="97" ht="15">
      <c r="A97" s="7" t="s">
        <v>189</v>
      </c>
      <c r="B97" s="8">
        <v>45715</v>
      </c>
      <c r="C97" s="7" t="s">
        <v>40</v>
      </c>
      <c r="D97" s="7" t="s">
        <v>80</v>
      </c>
      <c r="E97" s="7" t="s">
        <v>24</v>
      </c>
      <c r="F97" s="7" t="s">
        <v>35</v>
      </c>
      <c r="G97" s="7">
        <v>4</v>
      </c>
      <c r="H97" s="9">
        <v>8200</v>
      </c>
      <c r="I97" s="10">
        <v>0.10000000000000001</v>
      </c>
      <c r="J97" s="7" t="s">
        <v>70</v>
      </c>
      <c r="K97" s="7" t="s">
        <v>71</v>
      </c>
      <c r="L97" s="7" t="s">
        <v>78</v>
      </c>
      <c r="M97" s="11">
        <f t="shared" si="10"/>
        <v>29520</v>
      </c>
      <c r="N97" t="str">
        <f t="shared" si="11"/>
        <v>Feb</v>
      </c>
      <c r="O97">
        <f t="shared" si="12"/>
        <v>1</v>
      </c>
      <c r="P97">
        <f>VLOOKUP(F97,Products!A:C,3,FALSE)</f>
        <v>5084</v>
      </c>
      <c r="Q97" s="12">
        <f t="shared" si="13"/>
        <v>9184</v>
      </c>
    </row>
    <row r="98" ht="15">
      <c r="A98" s="7" t="s">
        <v>190</v>
      </c>
      <c r="B98" s="8">
        <v>45715</v>
      </c>
      <c r="C98" s="7" t="s">
        <v>28</v>
      </c>
      <c r="D98" s="7" t="s">
        <v>112</v>
      </c>
      <c r="E98" s="7" t="s">
        <v>24</v>
      </c>
      <c r="F98" s="7" t="s">
        <v>31</v>
      </c>
      <c r="G98" s="7">
        <v>4</v>
      </c>
      <c r="H98" s="9">
        <v>5400</v>
      </c>
      <c r="I98" s="10">
        <v>5.0000000000000003e-002</v>
      </c>
      <c r="J98" s="7" t="s">
        <v>89</v>
      </c>
      <c r="K98" s="7" t="s">
        <v>65</v>
      </c>
      <c r="L98" s="7" t="s">
        <v>74</v>
      </c>
      <c r="M98" s="11">
        <f t="shared" si="10"/>
        <v>20520</v>
      </c>
      <c r="N98" t="str">
        <f t="shared" si="11"/>
        <v>Feb</v>
      </c>
      <c r="O98">
        <f t="shared" si="12"/>
        <v>1</v>
      </c>
      <c r="P98">
        <f>VLOOKUP(F98,Products!A:C,3,FALSE)</f>
        <v>3348</v>
      </c>
      <c r="Q98" s="12">
        <f t="shared" si="13"/>
        <v>7128</v>
      </c>
    </row>
    <row r="99" ht="15">
      <c r="A99" s="7" t="s">
        <v>191</v>
      </c>
      <c r="B99" s="8">
        <v>45715</v>
      </c>
      <c r="C99" s="7" t="s">
        <v>23</v>
      </c>
      <c r="D99" s="7" t="s">
        <v>95</v>
      </c>
      <c r="E99" s="7" t="s">
        <v>19</v>
      </c>
      <c r="F99" s="7" t="s">
        <v>77</v>
      </c>
      <c r="G99" s="7">
        <v>2</v>
      </c>
      <c r="H99" s="9">
        <v>520</v>
      </c>
      <c r="I99" s="10">
        <v>5.0000000000000003e-002</v>
      </c>
      <c r="J99" s="7" t="s">
        <v>83</v>
      </c>
      <c r="K99" s="7" t="s">
        <v>71</v>
      </c>
      <c r="L99" s="7" t="s">
        <v>78</v>
      </c>
      <c r="M99" s="11">
        <f t="shared" si="10"/>
        <v>988</v>
      </c>
      <c r="N99" t="str">
        <f t="shared" si="11"/>
        <v>Feb</v>
      </c>
      <c r="O99">
        <f t="shared" si="12"/>
        <v>1</v>
      </c>
      <c r="P99">
        <f>VLOOKUP(F99,Products!A:C,3,FALSE)</f>
        <v>322</v>
      </c>
      <c r="Q99" s="12">
        <f t="shared" si="13"/>
        <v>344</v>
      </c>
    </row>
    <row r="100" ht="15">
      <c r="A100" s="7" t="s">
        <v>192</v>
      </c>
      <c r="B100" s="8">
        <v>45716</v>
      </c>
      <c r="C100" s="7" t="s">
        <v>40</v>
      </c>
      <c r="D100" s="7" t="s">
        <v>98</v>
      </c>
      <c r="E100" s="7" t="s">
        <v>19</v>
      </c>
      <c r="F100" s="7" t="s">
        <v>77</v>
      </c>
      <c r="G100" s="7">
        <v>3</v>
      </c>
      <c r="H100" s="9">
        <v>520</v>
      </c>
      <c r="I100" s="10">
        <v>0</v>
      </c>
      <c r="J100" s="7" t="s">
        <v>64</v>
      </c>
      <c r="K100" s="7" t="s">
        <v>65</v>
      </c>
      <c r="L100" s="7" t="s">
        <v>74</v>
      </c>
      <c r="M100" s="11">
        <f t="shared" ref="M100:M163" si="14">G100*H100*(1-I100)</f>
        <v>1560</v>
      </c>
      <c r="N100" t="str">
        <f t="shared" ref="N100:N163" si="15">TEXT(B100,"mmm")</f>
        <v>Feb</v>
      </c>
      <c r="O100">
        <f t="shared" ref="O100:O163" si="16">ROUNDUP(MONTH(B100)/3,0)</f>
        <v>1</v>
      </c>
      <c r="P100">
        <f>VLOOKUP(F100,Products!A:C,3,FALSE)</f>
        <v>322</v>
      </c>
      <c r="Q100" s="12">
        <f t="shared" ref="Q100:Q163" si="17">M100-(G100*P100)</f>
        <v>594</v>
      </c>
    </row>
    <row r="101" ht="15">
      <c r="A101" s="7" t="s">
        <v>193</v>
      </c>
      <c r="B101" s="8">
        <v>45716</v>
      </c>
      <c r="C101" s="7" t="s">
        <v>28</v>
      </c>
      <c r="D101" s="7" t="s">
        <v>112</v>
      </c>
      <c r="E101" s="7" t="s">
        <v>29</v>
      </c>
      <c r="F101" s="7" t="s">
        <v>120</v>
      </c>
      <c r="G101" s="7">
        <v>1</v>
      </c>
      <c r="H101" s="9">
        <v>2300</v>
      </c>
      <c r="I101" s="10">
        <v>0</v>
      </c>
      <c r="J101" s="7" t="s">
        <v>64</v>
      </c>
      <c r="K101" s="7" t="s">
        <v>65</v>
      </c>
      <c r="L101" s="7" t="s">
        <v>66</v>
      </c>
      <c r="M101" s="11">
        <f t="shared" si="14"/>
        <v>2300</v>
      </c>
      <c r="N101" t="str">
        <f t="shared" si="15"/>
        <v>Feb</v>
      </c>
      <c r="O101">
        <f t="shared" si="16"/>
        <v>1</v>
      </c>
      <c r="P101">
        <f>VLOOKUP(F101,Products!A:C,3,FALSE)</f>
        <v>1426</v>
      </c>
      <c r="Q101" s="12">
        <f t="shared" si="17"/>
        <v>874</v>
      </c>
    </row>
    <row r="102" ht="15">
      <c r="A102" s="7" t="s">
        <v>194</v>
      </c>
      <c r="B102" s="8">
        <v>45716</v>
      </c>
      <c r="C102" s="7" t="s">
        <v>36</v>
      </c>
      <c r="D102" s="7" t="s">
        <v>114</v>
      </c>
      <c r="E102" s="7" t="s">
        <v>24</v>
      </c>
      <c r="F102" s="7" t="s">
        <v>31</v>
      </c>
      <c r="G102" s="7">
        <v>2</v>
      </c>
      <c r="H102" s="9">
        <v>5400</v>
      </c>
      <c r="I102" s="10">
        <v>0.10000000000000001</v>
      </c>
      <c r="J102" s="7" t="s">
        <v>83</v>
      </c>
      <c r="K102" s="7" t="s">
        <v>65</v>
      </c>
      <c r="L102" s="7" t="s">
        <v>66</v>
      </c>
      <c r="M102" s="11">
        <f t="shared" si="14"/>
        <v>9720</v>
      </c>
      <c r="N102" t="str">
        <f t="shared" si="15"/>
        <v>Feb</v>
      </c>
      <c r="O102">
        <f t="shared" si="16"/>
        <v>1</v>
      </c>
      <c r="P102">
        <f>VLOOKUP(F102,Products!A:C,3,FALSE)</f>
        <v>3348</v>
      </c>
      <c r="Q102" s="12">
        <f t="shared" si="17"/>
        <v>3024</v>
      </c>
    </row>
    <row r="103" ht="15">
      <c r="A103" s="7" t="s">
        <v>195</v>
      </c>
      <c r="B103" s="8">
        <v>45716</v>
      </c>
      <c r="C103" s="7" t="s">
        <v>18</v>
      </c>
      <c r="D103" s="7" t="s">
        <v>63</v>
      </c>
      <c r="E103" s="7" t="s">
        <v>19</v>
      </c>
      <c r="F103" s="7" t="s">
        <v>77</v>
      </c>
      <c r="G103" s="7">
        <v>1</v>
      </c>
      <c r="H103" s="9">
        <v>520</v>
      </c>
      <c r="I103" s="10">
        <v>0</v>
      </c>
      <c r="J103" s="7" t="s">
        <v>103</v>
      </c>
      <c r="K103" s="7" t="s">
        <v>71</v>
      </c>
      <c r="L103" s="7" t="s">
        <v>66</v>
      </c>
      <c r="M103" s="11">
        <f t="shared" si="14"/>
        <v>520</v>
      </c>
      <c r="N103" t="str">
        <f t="shared" si="15"/>
        <v>Feb</v>
      </c>
      <c r="O103">
        <f t="shared" si="16"/>
        <v>1</v>
      </c>
      <c r="P103">
        <f>VLOOKUP(F103,Products!A:C,3,FALSE)</f>
        <v>322</v>
      </c>
      <c r="Q103" s="12">
        <f t="shared" si="17"/>
        <v>198</v>
      </c>
    </row>
    <row r="104" ht="15">
      <c r="A104" s="7" t="s">
        <v>196</v>
      </c>
      <c r="B104" s="8">
        <v>45718</v>
      </c>
      <c r="C104" s="7" t="s">
        <v>40</v>
      </c>
      <c r="D104" s="7" t="s">
        <v>80</v>
      </c>
      <c r="E104" s="7" t="s">
        <v>34</v>
      </c>
      <c r="F104" s="7" t="s">
        <v>86</v>
      </c>
      <c r="G104" s="7">
        <v>31</v>
      </c>
      <c r="H104" s="9">
        <v>210</v>
      </c>
      <c r="I104" s="10">
        <v>0.10000000000000001</v>
      </c>
      <c r="J104" s="7" t="s">
        <v>89</v>
      </c>
      <c r="K104" s="7" t="s">
        <v>65</v>
      </c>
      <c r="L104" s="7" t="s">
        <v>66</v>
      </c>
      <c r="M104" s="11">
        <f t="shared" si="14"/>
        <v>5859</v>
      </c>
      <c r="N104" t="str">
        <f t="shared" si="15"/>
        <v>Mar</v>
      </c>
      <c r="O104">
        <f t="shared" si="16"/>
        <v>1</v>
      </c>
      <c r="P104">
        <f>VLOOKUP(F104,Products!A:C,3,FALSE)</f>
        <v>130</v>
      </c>
      <c r="Q104" s="12">
        <f t="shared" si="17"/>
        <v>1829</v>
      </c>
    </row>
    <row r="105" ht="15">
      <c r="A105" s="7" t="s">
        <v>197</v>
      </c>
      <c r="B105" s="8">
        <v>45718</v>
      </c>
      <c r="C105" s="7" t="s">
        <v>28</v>
      </c>
      <c r="D105" s="7" t="s">
        <v>112</v>
      </c>
      <c r="E105" s="7" t="s">
        <v>34</v>
      </c>
      <c r="F105" s="7" t="s">
        <v>86</v>
      </c>
      <c r="G105" s="7">
        <v>20</v>
      </c>
      <c r="H105" s="9">
        <v>210</v>
      </c>
      <c r="I105" s="10">
        <v>0.14999999999999999</v>
      </c>
      <c r="J105" s="7" t="s">
        <v>70</v>
      </c>
      <c r="K105" s="7" t="s">
        <v>65</v>
      </c>
      <c r="L105" s="7" t="s">
        <v>78</v>
      </c>
      <c r="M105" s="11">
        <f t="shared" si="14"/>
        <v>3570</v>
      </c>
      <c r="N105" t="str">
        <f t="shared" si="15"/>
        <v>Mar</v>
      </c>
      <c r="O105">
        <f t="shared" si="16"/>
        <v>1</v>
      </c>
      <c r="P105">
        <f>VLOOKUP(F105,Products!A:C,3,FALSE)</f>
        <v>130</v>
      </c>
      <c r="Q105" s="12">
        <f t="shared" si="17"/>
        <v>970</v>
      </c>
    </row>
    <row r="106" ht="15">
      <c r="A106" s="7" t="s">
        <v>198</v>
      </c>
      <c r="B106" s="8">
        <v>45719</v>
      </c>
      <c r="C106" s="7" t="s">
        <v>40</v>
      </c>
      <c r="D106" s="7" t="s">
        <v>85</v>
      </c>
      <c r="E106" s="7" t="s">
        <v>19</v>
      </c>
      <c r="F106" s="7" t="s">
        <v>73</v>
      </c>
      <c r="G106" s="7">
        <v>4</v>
      </c>
      <c r="H106" s="9">
        <v>650</v>
      </c>
      <c r="I106" s="10">
        <v>5.0000000000000003e-002</v>
      </c>
      <c r="J106" s="7" t="s">
        <v>70</v>
      </c>
      <c r="K106" s="7" t="s">
        <v>65</v>
      </c>
      <c r="L106" s="7" t="s">
        <v>74</v>
      </c>
      <c r="M106" s="11">
        <f t="shared" si="14"/>
        <v>2470</v>
      </c>
      <c r="N106" t="str">
        <f t="shared" si="15"/>
        <v>Mar</v>
      </c>
      <c r="O106">
        <f t="shared" si="16"/>
        <v>1</v>
      </c>
      <c r="P106">
        <f>VLOOKUP(F106,Products!A:C,3,FALSE)</f>
        <v>403</v>
      </c>
      <c r="Q106" s="12">
        <f t="shared" si="17"/>
        <v>858</v>
      </c>
    </row>
    <row r="107" ht="15">
      <c r="A107" s="7" t="s">
        <v>199</v>
      </c>
      <c r="B107" s="8">
        <v>45720</v>
      </c>
      <c r="C107" s="7" t="s">
        <v>18</v>
      </c>
      <c r="D107" s="7" t="s">
        <v>63</v>
      </c>
      <c r="E107" s="7" t="s">
        <v>29</v>
      </c>
      <c r="F107" s="7" t="s">
        <v>120</v>
      </c>
      <c r="G107" s="7">
        <v>3</v>
      </c>
      <c r="H107" s="9">
        <v>2300</v>
      </c>
      <c r="I107" s="10">
        <v>5.0000000000000003e-002</v>
      </c>
      <c r="J107" s="7" t="s">
        <v>64</v>
      </c>
      <c r="K107" s="7" t="s">
        <v>71</v>
      </c>
      <c r="L107" s="7" t="s">
        <v>78</v>
      </c>
      <c r="M107" s="11">
        <f t="shared" si="14"/>
        <v>6555</v>
      </c>
      <c r="N107" t="str">
        <f t="shared" si="15"/>
        <v>Mar</v>
      </c>
      <c r="O107">
        <f t="shared" si="16"/>
        <v>1</v>
      </c>
      <c r="P107">
        <f>VLOOKUP(F107,Products!A:C,3,FALSE)</f>
        <v>1426</v>
      </c>
      <c r="Q107" s="12">
        <f t="shared" si="17"/>
        <v>2277</v>
      </c>
    </row>
    <row r="108" ht="15">
      <c r="A108" s="7" t="s">
        <v>200</v>
      </c>
      <c r="B108" s="8">
        <v>45721</v>
      </c>
      <c r="C108" s="7" t="s">
        <v>40</v>
      </c>
      <c r="D108" s="7" t="s">
        <v>98</v>
      </c>
      <c r="E108" s="7" t="s">
        <v>29</v>
      </c>
      <c r="F108" s="7" t="s">
        <v>120</v>
      </c>
      <c r="G108" s="7">
        <v>3</v>
      </c>
      <c r="H108" s="9">
        <v>2300</v>
      </c>
      <c r="I108" s="10">
        <v>5.0000000000000003e-002</v>
      </c>
      <c r="J108" s="7" t="s">
        <v>64</v>
      </c>
      <c r="K108" s="7" t="s">
        <v>65</v>
      </c>
      <c r="L108" s="7" t="s">
        <v>78</v>
      </c>
      <c r="M108" s="11">
        <f t="shared" si="14"/>
        <v>6555</v>
      </c>
      <c r="N108" t="str">
        <f t="shared" si="15"/>
        <v>Mar</v>
      </c>
      <c r="O108">
        <f t="shared" si="16"/>
        <v>1</v>
      </c>
      <c r="P108">
        <f>VLOOKUP(F108,Products!A:C,3,FALSE)</f>
        <v>1426</v>
      </c>
      <c r="Q108" s="12">
        <f t="shared" si="17"/>
        <v>2277</v>
      </c>
    </row>
    <row r="109" ht="15">
      <c r="A109" s="7" t="s">
        <v>201</v>
      </c>
      <c r="B109" s="8">
        <v>45722</v>
      </c>
      <c r="C109" s="7" t="s">
        <v>28</v>
      </c>
      <c r="D109" s="7" t="s">
        <v>112</v>
      </c>
      <c r="E109" s="7" t="s">
        <v>24</v>
      </c>
      <c r="F109" s="7" t="s">
        <v>26</v>
      </c>
      <c r="G109" s="7">
        <v>2</v>
      </c>
      <c r="H109" s="9">
        <v>3100</v>
      </c>
      <c r="I109" s="10">
        <v>0</v>
      </c>
      <c r="J109" s="7" t="s">
        <v>93</v>
      </c>
      <c r="K109" s="7" t="s">
        <v>71</v>
      </c>
      <c r="L109" s="7" t="s">
        <v>66</v>
      </c>
      <c r="M109" s="11">
        <f t="shared" si="14"/>
        <v>6200</v>
      </c>
      <c r="N109" t="str">
        <f t="shared" si="15"/>
        <v>Mar</v>
      </c>
      <c r="O109">
        <f t="shared" si="16"/>
        <v>1</v>
      </c>
      <c r="P109">
        <f>VLOOKUP(F109,Products!A:C,3,FALSE)</f>
        <v>1922</v>
      </c>
      <c r="Q109" s="12">
        <f t="shared" si="17"/>
        <v>2356</v>
      </c>
    </row>
    <row r="110" ht="15">
      <c r="A110" s="7" t="s">
        <v>202</v>
      </c>
      <c r="B110" s="8">
        <v>45723</v>
      </c>
      <c r="C110" s="7" t="s">
        <v>36</v>
      </c>
      <c r="D110" s="7" t="s">
        <v>76</v>
      </c>
      <c r="E110" s="7" t="s">
        <v>24</v>
      </c>
      <c r="F110" s="7" t="s">
        <v>96</v>
      </c>
      <c r="G110" s="7">
        <v>4</v>
      </c>
      <c r="H110" s="9">
        <v>1450</v>
      </c>
      <c r="I110" s="10">
        <v>5.0000000000000003e-002</v>
      </c>
      <c r="J110" s="7" t="s">
        <v>93</v>
      </c>
      <c r="K110" s="7" t="s">
        <v>65</v>
      </c>
      <c r="L110" s="7" t="s">
        <v>78</v>
      </c>
      <c r="M110" s="11">
        <f t="shared" si="14"/>
        <v>5510</v>
      </c>
      <c r="N110" t="str">
        <f t="shared" si="15"/>
        <v>Mar</v>
      </c>
      <c r="O110">
        <f t="shared" si="16"/>
        <v>1</v>
      </c>
      <c r="P110">
        <f>VLOOKUP(F110,Products!A:C,3,FALSE)</f>
        <v>899</v>
      </c>
      <c r="Q110" s="12">
        <f t="shared" si="17"/>
        <v>1914</v>
      </c>
    </row>
    <row r="111" ht="15">
      <c r="A111" s="7" t="s">
        <v>203</v>
      </c>
      <c r="B111" s="8">
        <v>45724</v>
      </c>
      <c r="C111" s="7" t="s">
        <v>33</v>
      </c>
      <c r="D111" s="7" t="s">
        <v>102</v>
      </c>
      <c r="E111" s="7" t="s">
        <v>29</v>
      </c>
      <c r="F111" s="7" t="s">
        <v>21</v>
      </c>
      <c r="G111" s="7">
        <v>2</v>
      </c>
      <c r="H111" s="9">
        <v>3600</v>
      </c>
      <c r="I111" s="10">
        <v>0.10000000000000001</v>
      </c>
      <c r="J111" s="7" t="s">
        <v>93</v>
      </c>
      <c r="K111" s="7" t="s">
        <v>65</v>
      </c>
      <c r="L111" s="7" t="s">
        <v>66</v>
      </c>
      <c r="M111" s="11">
        <f t="shared" si="14"/>
        <v>6480</v>
      </c>
      <c r="N111" t="str">
        <f t="shared" si="15"/>
        <v>Mar</v>
      </c>
      <c r="O111">
        <f t="shared" si="16"/>
        <v>1</v>
      </c>
      <c r="P111">
        <f>VLOOKUP(F111,Products!A:C,3,FALSE)</f>
        <v>2232</v>
      </c>
      <c r="Q111" s="12">
        <f t="shared" si="17"/>
        <v>2016</v>
      </c>
    </row>
    <row r="112" ht="15">
      <c r="A112" s="7" t="s">
        <v>204</v>
      </c>
      <c r="B112" s="8">
        <v>45726</v>
      </c>
      <c r="C112" s="7" t="s">
        <v>33</v>
      </c>
      <c r="D112" s="7" t="s">
        <v>68</v>
      </c>
      <c r="E112" s="7" t="s">
        <v>29</v>
      </c>
      <c r="F112" s="7" t="s">
        <v>81</v>
      </c>
      <c r="G112" s="7">
        <v>3</v>
      </c>
      <c r="H112" s="9">
        <v>1900</v>
      </c>
      <c r="I112" s="10">
        <v>0.10000000000000001</v>
      </c>
      <c r="J112" s="7" t="s">
        <v>103</v>
      </c>
      <c r="K112" s="7" t="s">
        <v>71</v>
      </c>
      <c r="L112" s="7" t="s">
        <v>90</v>
      </c>
      <c r="M112" s="11">
        <f t="shared" si="14"/>
        <v>5130</v>
      </c>
      <c r="N112" t="str">
        <f t="shared" si="15"/>
        <v>Mar</v>
      </c>
      <c r="O112">
        <f t="shared" si="16"/>
        <v>1</v>
      </c>
      <c r="P112">
        <f>VLOOKUP(F112,Products!A:C,3,FALSE)</f>
        <v>1178</v>
      </c>
      <c r="Q112" s="12">
        <f t="shared" si="17"/>
        <v>1596</v>
      </c>
    </row>
    <row r="113" ht="15">
      <c r="A113" s="7" t="s">
        <v>205</v>
      </c>
      <c r="B113" s="8">
        <v>45727</v>
      </c>
      <c r="C113" s="7" t="s">
        <v>18</v>
      </c>
      <c r="D113" s="7" t="s">
        <v>63</v>
      </c>
      <c r="E113" s="7" t="s">
        <v>24</v>
      </c>
      <c r="F113" s="7" t="s">
        <v>31</v>
      </c>
      <c r="G113" s="7">
        <v>4</v>
      </c>
      <c r="H113" s="9">
        <v>5400</v>
      </c>
      <c r="I113" s="10">
        <v>0</v>
      </c>
      <c r="J113" s="7" t="s">
        <v>103</v>
      </c>
      <c r="K113" s="7" t="s">
        <v>65</v>
      </c>
      <c r="L113" s="7" t="s">
        <v>74</v>
      </c>
      <c r="M113" s="11">
        <f t="shared" si="14"/>
        <v>21600</v>
      </c>
      <c r="N113" t="str">
        <f t="shared" si="15"/>
        <v>Mar</v>
      </c>
      <c r="O113">
        <f t="shared" si="16"/>
        <v>1</v>
      </c>
      <c r="P113">
        <f>VLOOKUP(F113,Products!A:C,3,FALSE)</f>
        <v>3348</v>
      </c>
      <c r="Q113" s="12">
        <f t="shared" si="17"/>
        <v>8208</v>
      </c>
    </row>
    <row r="114" ht="15">
      <c r="A114" s="7" t="s">
        <v>206</v>
      </c>
      <c r="B114" s="8">
        <v>45728</v>
      </c>
      <c r="C114" s="7" t="s">
        <v>33</v>
      </c>
      <c r="D114" s="7" t="s">
        <v>102</v>
      </c>
      <c r="E114" s="7" t="s">
        <v>29</v>
      </c>
      <c r="F114" s="7" t="s">
        <v>120</v>
      </c>
      <c r="G114" s="7">
        <v>4</v>
      </c>
      <c r="H114" s="9">
        <v>2300</v>
      </c>
      <c r="I114" s="10">
        <v>0.10000000000000001</v>
      </c>
      <c r="J114" s="7" t="s">
        <v>70</v>
      </c>
      <c r="K114" s="7" t="s">
        <v>71</v>
      </c>
      <c r="L114" s="7" t="s">
        <v>66</v>
      </c>
      <c r="M114" s="11">
        <f t="shared" si="14"/>
        <v>8280</v>
      </c>
      <c r="N114" t="str">
        <f t="shared" si="15"/>
        <v>Mar</v>
      </c>
      <c r="O114">
        <f t="shared" si="16"/>
        <v>1</v>
      </c>
      <c r="P114">
        <f>VLOOKUP(F114,Products!A:C,3,FALSE)</f>
        <v>1426</v>
      </c>
      <c r="Q114" s="12">
        <f t="shared" si="17"/>
        <v>2576</v>
      </c>
    </row>
    <row r="115" ht="15">
      <c r="A115" s="7" t="s">
        <v>207</v>
      </c>
      <c r="B115" s="8">
        <v>45728</v>
      </c>
      <c r="C115" s="7" t="s">
        <v>28</v>
      </c>
      <c r="D115" s="7" t="s">
        <v>112</v>
      </c>
      <c r="E115" s="7" t="s">
        <v>19</v>
      </c>
      <c r="F115" s="7" t="s">
        <v>77</v>
      </c>
      <c r="G115" s="7">
        <v>2</v>
      </c>
      <c r="H115" s="9">
        <v>520</v>
      </c>
      <c r="I115" s="10">
        <v>0</v>
      </c>
      <c r="J115" s="7" t="s">
        <v>70</v>
      </c>
      <c r="K115" s="7" t="s">
        <v>65</v>
      </c>
      <c r="L115" s="7" t="s">
        <v>66</v>
      </c>
      <c r="M115" s="11">
        <f t="shared" si="14"/>
        <v>1040</v>
      </c>
      <c r="N115" t="str">
        <f t="shared" si="15"/>
        <v>Mar</v>
      </c>
      <c r="O115">
        <f t="shared" si="16"/>
        <v>1</v>
      </c>
      <c r="P115">
        <f>VLOOKUP(F115,Products!A:C,3,FALSE)</f>
        <v>322</v>
      </c>
      <c r="Q115" s="12">
        <f t="shared" si="17"/>
        <v>396</v>
      </c>
    </row>
    <row r="116" ht="15">
      <c r="A116" s="7" t="s">
        <v>208</v>
      </c>
      <c r="B116" s="8">
        <v>45729</v>
      </c>
      <c r="C116" s="7" t="s">
        <v>28</v>
      </c>
      <c r="D116" s="7" t="s">
        <v>112</v>
      </c>
      <c r="E116" s="7" t="s">
        <v>34</v>
      </c>
      <c r="F116" s="7" t="s">
        <v>69</v>
      </c>
      <c r="G116" s="7">
        <v>17</v>
      </c>
      <c r="H116" s="9">
        <v>120</v>
      </c>
      <c r="I116" s="10">
        <v>0.10000000000000001</v>
      </c>
      <c r="J116" s="7" t="s">
        <v>83</v>
      </c>
      <c r="K116" s="7" t="s">
        <v>65</v>
      </c>
      <c r="L116" s="7" t="s">
        <v>78</v>
      </c>
      <c r="M116" s="11">
        <f t="shared" si="14"/>
        <v>1836</v>
      </c>
      <c r="N116" t="str">
        <f t="shared" si="15"/>
        <v>Mar</v>
      </c>
      <c r="O116">
        <f t="shared" si="16"/>
        <v>1</v>
      </c>
      <c r="P116">
        <f>VLOOKUP(F116,Products!A:C,3,FALSE)</f>
        <v>74</v>
      </c>
      <c r="Q116" s="12">
        <f t="shared" si="17"/>
        <v>578</v>
      </c>
    </row>
    <row r="117" ht="15">
      <c r="A117" s="7" t="s">
        <v>209</v>
      </c>
      <c r="B117" s="8">
        <v>45729</v>
      </c>
      <c r="C117" s="7" t="s">
        <v>40</v>
      </c>
      <c r="D117" s="7" t="s">
        <v>80</v>
      </c>
      <c r="E117" s="7" t="s">
        <v>24</v>
      </c>
      <c r="F117" s="7" t="s">
        <v>38</v>
      </c>
      <c r="G117" s="7">
        <v>3</v>
      </c>
      <c r="H117" s="9">
        <v>12500</v>
      </c>
      <c r="I117" s="10">
        <v>5.0000000000000003e-002</v>
      </c>
      <c r="J117" s="7" t="s">
        <v>83</v>
      </c>
      <c r="K117" s="7" t="s">
        <v>65</v>
      </c>
      <c r="L117" s="7" t="s">
        <v>74</v>
      </c>
      <c r="M117" s="11">
        <f t="shared" si="14"/>
        <v>35625</v>
      </c>
      <c r="N117" t="str">
        <f t="shared" si="15"/>
        <v>Mar</v>
      </c>
      <c r="O117">
        <f t="shared" si="16"/>
        <v>1</v>
      </c>
      <c r="P117">
        <f>VLOOKUP(F117,Products!A:C,3,FALSE)</f>
        <v>7750</v>
      </c>
      <c r="Q117" s="12">
        <f t="shared" si="17"/>
        <v>12375</v>
      </c>
    </row>
    <row r="118" ht="15">
      <c r="A118" s="7" t="s">
        <v>210</v>
      </c>
      <c r="B118" s="8">
        <v>45729</v>
      </c>
      <c r="C118" s="7" t="s">
        <v>28</v>
      </c>
      <c r="D118" s="7" t="s">
        <v>112</v>
      </c>
      <c r="E118" s="7" t="s">
        <v>29</v>
      </c>
      <c r="F118" s="7" t="s">
        <v>120</v>
      </c>
      <c r="G118" s="7">
        <v>2</v>
      </c>
      <c r="H118" s="9">
        <v>2300</v>
      </c>
      <c r="I118" s="10">
        <v>5.0000000000000003e-002</v>
      </c>
      <c r="J118" s="7" t="s">
        <v>83</v>
      </c>
      <c r="K118" s="7" t="s">
        <v>71</v>
      </c>
      <c r="L118" s="7" t="s">
        <v>66</v>
      </c>
      <c r="M118" s="11">
        <f t="shared" si="14"/>
        <v>4370</v>
      </c>
      <c r="N118" t="str">
        <f t="shared" si="15"/>
        <v>Mar</v>
      </c>
      <c r="O118">
        <f t="shared" si="16"/>
        <v>1</v>
      </c>
      <c r="P118">
        <f>VLOOKUP(F118,Products!A:C,3,FALSE)</f>
        <v>1426</v>
      </c>
      <c r="Q118" s="12">
        <f t="shared" si="17"/>
        <v>1518</v>
      </c>
    </row>
    <row r="119" ht="15">
      <c r="A119" s="7" t="s">
        <v>211</v>
      </c>
      <c r="B119" s="8">
        <v>45730</v>
      </c>
      <c r="C119" s="7" t="s">
        <v>40</v>
      </c>
      <c r="D119" s="7" t="s">
        <v>80</v>
      </c>
      <c r="E119" s="7" t="s">
        <v>34</v>
      </c>
      <c r="F119" s="7" t="s">
        <v>92</v>
      </c>
      <c r="G119" s="7">
        <v>39</v>
      </c>
      <c r="H119" s="9">
        <v>85</v>
      </c>
      <c r="I119" s="10">
        <v>5.0000000000000003e-002</v>
      </c>
      <c r="J119" s="7" t="s">
        <v>89</v>
      </c>
      <c r="K119" s="7" t="s">
        <v>65</v>
      </c>
      <c r="L119" s="7" t="s">
        <v>90</v>
      </c>
      <c r="M119" s="11">
        <f t="shared" si="14"/>
        <v>3149.25</v>
      </c>
      <c r="N119" t="str">
        <f t="shared" si="15"/>
        <v>Mar</v>
      </c>
      <c r="O119">
        <f t="shared" si="16"/>
        <v>1</v>
      </c>
      <c r="P119">
        <f>VLOOKUP(F119,Products!A:C,3,FALSE)</f>
        <v>53</v>
      </c>
      <c r="Q119" s="12">
        <f t="shared" si="17"/>
        <v>1082.25</v>
      </c>
    </row>
    <row r="120" ht="15">
      <c r="A120" s="7" t="s">
        <v>212</v>
      </c>
      <c r="B120" s="8">
        <v>45731</v>
      </c>
      <c r="C120" s="7" t="s">
        <v>40</v>
      </c>
      <c r="D120" s="7" t="s">
        <v>85</v>
      </c>
      <c r="E120" s="7" t="s">
        <v>19</v>
      </c>
      <c r="F120" s="7" t="s">
        <v>77</v>
      </c>
      <c r="G120" s="7">
        <v>1</v>
      </c>
      <c r="H120" s="9">
        <v>520</v>
      </c>
      <c r="I120" s="10">
        <v>5.0000000000000003e-002</v>
      </c>
      <c r="J120" s="7" t="s">
        <v>83</v>
      </c>
      <c r="K120" s="7" t="s">
        <v>65</v>
      </c>
      <c r="L120" s="7" t="s">
        <v>78</v>
      </c>
      <c r="M120" s="11">
        <f t="shared" si="14"/>
        <v>494</v>
      </c>
      <c r="N120" t="str">
        <f t="shared" si="15"/>
        <v>Mar</v>
      </c>
      <c r="O120">
        <f t="shared" si="16"/>
        <v>1</v>
      </c>
      <c r="P120">
        <f>VLOOKUP(F120,Products!A:C,3,FALSE)</f>
        <v>322</v>
      </c>
      <c r="Q120" s="12">
        <f t="shared" si="17"/>
        <v>172</v>
      </c>
    </row>
    <row r="121" ht="15">
      <c r="A121" s="7" t="s">
        <v>213</v>
      </c>
      <c r="B121" s="8">
        <v>45732</v>
      </c>
      <c r="C121" s="7" t="s">
        <v>33</v>
      </c>
      <c r="D121" s="7" t="s">
        <v>102</v>
      </c>
      <c r="E121" s="7" t="s">
        <v>34</v>
      </c>
      <c r="F121" s="7" t="s">
        <v>92</v>
      </c>
      <c r="G121" s="7">
        <v>8</v>
      </c>
      <c r="H121" s="9">
        <v>85</v>
      </c>
      <c r="I121" s="10">
        <v>0.10000000000000001</v>
      </c>
      <c r="J121" s="7" t="s">
        <v>70</v>
      </c>
      <c r="K121" s="7" t="s">
        <v>65</v>
      </c>
      <c r="L121" s="7" t="s">
        <v>90</v>
      </c>
      <c r="M121" s="11">
        <f t="shared" si="14"/>
        <v>612</v>
      </c>
      <c r="N121" t="str">
        <f t="shared" si="15"/>
        <v>Mar</v>
      </c>
      <c r="O121">
        <f t="shared" si="16"/>
        <v>1</v>
      </c>
      <c r="P121">
        <f>VLOOKUP(F121,Products!A:C,3,FALSE)</f>
        <v>53</v>
      </c>
      <c r="Q121" s="12">
        <f t="shared" si="17"/>
        <v>188</v>
      </c>
    </row>
    <row r="122" ht="15">
      <c r="A122" s="7" t="s">
        <v>214</v>
      </c>
      <c r="B122" s="8">
        <v>45733</v>
      </c>
      <c r="C122" s="7" t="s">
        <v>23</v>
      </c>
      <c r="D122" s="7" t="s">
        <v>95</v>
      </c>
      <c r="E122" s="7" t="s">
        <v>24</v>
      </c>
      <c r="F122" s="7" t="s">
        <v>31</v>
      </c>
      <c r="G122" s="7">
        <v>1</v>
      </c>
      <c r="H122" s="9">
        <v>5400</v>
      </c>
      <c r="I122" s="10">
        <v>0.10000000000000001</v>
      </c>
      <c r="J122" s="7" t="s">
        <v>89</v>
      </c>
      <c r="K122" s="7" t="s">
        <v>65</v>
      </c>
      <c r="L122" s="7" t="s">
        <v>78</v>
      </c>
      <c r="M122" s="11">
        <f t="shared" si="14"/>
        <v>4860</v>
      </c>
      <c r="N122" t="str">
        <f t="shared" si="15"/>
        <v>Mar</v>
      </c>
      <c r="O122">
        <f t="shared" si="16"/>
        <v>1</v>
      </c>
      <c r="P122">
        <f>VLOOKUP(F122,Products!A:C,3,FALSE)</f>
        <v>3348</v>
      </c>
      <c r="Q122" s="12">
        <f t="shared" si="17"/>
        <v>1512</v>
      </c>
    </row>
    <row r="123" ht="15">
      <c r="A123" s="7" t="s">
        <v>215</v>
      </c>
      <c r="B123" s="8">
        <v>45733</v>
      </c>
      <c r="C123" s="7" t="s">
        <v>40</v>
      </c>
      <c r="D123" s="7" t="s">
        <v>98</v>
      </c>
      <c r="E123" s="7" t="s">
        <v>29</v>
      </c>
      <c r="F123" s="7" t="s">
        <v>81</v>
      </c>
      <c r="G123" s="7">
        <v>4</v>
      </c>
      <c r="H123" s="9">
        <v>1900</v>
      </c>
      <c r="I123" s="10">
        <v>0.14999999999999999</v>
      </c>
      <c r="J123" s="7" t="s">
        <v>64</v>
      </c>
      <c r="K123" s="7" t="s">
        <v>65</v>
      </c>
      <c r="L123" s="7" t="s">
        <v>90</v>
      </c>
      <c r="M123" s="11">
        <f t="shared" si="14"/>
        <v>6460</v>
      </c>
      <c r="N123" t="str">
        <f t="shared" si="15"/>
        <v>Mar</v>
      </c>
      <c r="O123">
        <f t="shared" si="16"/>
        <v>1</v>
      </c>
      <c r="P123">
        <f>VLOOKUP(F123,Products!A:C,3,FALSE)</f>
        <v>1178</v>
      </c>
      <c r="Q123" s="12">
        <f t="shared" si="17"/>
        <v>1748</v>
      </c>
    </row>
    <row r="124" ht="15">
      <c r="A124" s="7" t="s">
        <v>216</v>
      </c>
      <c r="B124" s="8">
        <v>45734</v>
      </c>
      <c r="C124" s="7" t="s">
        <v>23</v>
      </c>
      <c r="D124" s="7" t="s">
        <v>95</v>
      </c>
      <c r="E124" s="7" t="s">
        <v>19</v>
      </c>
      <c r="F124" s="7" t="s">
        <v>77</v>
      </c>
      <c r="G124" s="7">
        <v>2</v>
      </c>
      <c r="H124" s="9">
        <v>520</v>
      </c>
      <c r="I124" s="10">
        <v>0.10000000000000001</v>
      </c>
      <c r="J124" s="7" t="s">
        <v>64</v>
      </c>
      <c r="K124" s="7" t="s">
        <v>65</v>
      </c>
      <c r="L124" s="7" t="s">
        <v>90</v>
      </c>
      <c r="M124" s="11">
        <f t="shared" si="14"/>
        <v>936</v>
      </c>
      <c r="N124" t="str">
        <f t="shared" si="15"/>
        <v>Mar</v>
      </c>
      <c r="O124">
        <f t="shared" si="16"/>
        <v>1</v>
      </c>
      <c r="P124">
        <f>VLOOKUP(F124,Products!A:C,3,FALSE)</f>
        <v>322</v>
      </c>
      <c r="Q124" s="12">
        <f t="shared" si="17"/>
        <v>292</v>
      </c>
    </row>
    <row r="125" ht="15">
      <c r="A125" s="7" t="s">
        <v>217</v>
      </c>
      <c r="B125" s="8">
        <v>45734</v>
      </c>
      <c r="C125" s="7" t="s">
        <v>40</v>
      </c>
      <c r="D125" s="7" t="s">
        <v>98</v>
      </c>
      <c r="E125" s="7" t="s">
        <v>34</v>
      </c>
      <c r="F125" s="7" t="s">
        <v>69</v>
      </c>
      <c r="G125" s="7">
        <v>34</v>
      </c>
      <c r="H125" s="9">
        <v>120</v>
      </c>
      <c r="I125" s="10">
        <v>0.10000000000000001</v>
      </c>
      <c r="J125" s="7" t="s">
        <v>93</v>
      </c>
      <c r="K125" s="7" t="s">
        <v>65</v>
      </c>
      <c r="L125" s="7" t="s">
        <v>66</v>
      </c>
      <c r="M125" s="11">
        <f t="shared" si="14"/>
        <v>3672</v>
      </c>
      <c r="N125" t="str">
        <f t="shared" si="15"/>
        <v>Mar</v>
      </c>
      <c r="O125">
        <f t="shared" si="16"/>
        <v>1</v>
      </c>
      <c r="P125">
        <f>VLOOKUP(F125,Products!A:C,3,FALSE)</f>
        <v>74</v>
      </c>
      <c r="Q125" s="12">
        <f t="shared" si="17"/>
        <v>1156</v>
      </c>
    </row>
    <row r="126" ht="15">
      <c r="A126" s="7" t="s">
        <v>218</v>
      </c>
      <c r="B126" s="8">
        <v>45735</v>
      </c>
      <c r="C126" s="7" t="s">
        <v>33</v>
      </c>
      <c r="D126" s="7" t="s">
        <v>102</v>
      </c>
      <c r="E126" s="7" t="s">
        <v>34</v>
      </c>
      <c r="F126" s="7" t="s">
        <v>92</v>
      </c>
      <c r="G126" s="7">
        <v>22</v>
      </c>
      <c r="H126" s="9">
        <v>85</v>
      </c>
      <c r="I126" s="10">
        <v>0.10000000000000001</v>
      </c>
      <c r="J126" s="7" t="s">
        <v>93</v>
      </c>
      <c r="K126" s="7" t="s">
        <v>65</v>
      </c>
      <c r="L126" s="7" t="s">
        <v>66</v>
      </c>
      <c r="M126" s="11">
        <f t="shared" si="14"/>
        <v>1683</v>
      </c>
      <c r="N126" t="str">
        <f t="shared" si="15"/>
        <v>Mar</v>
      </c>
      <c r="O126">
        <f t="shared" si="16"/>
        <v>1</v>
      </c>
      <c r="P126">
        <f>VLOOKUP(F126,Products!A:C,3,FALSE)</f>
        <v>53</v>
      </c>
      <c r="Q126" s="12">
        <f t="shared" si="17"/>
        <v>517</v>
      </c>
    </row>
    <row r="127" ht="15">
      <c r="A127" s="7" t="s">
        <v>219</v>
      </c>
      <c r="B127" s="8">
        <v>45736</v>
      </c>
      <c r="C127" s="7" t="s">
        <v>40</v>
      </c>
      <c r="D127" s="7" t="s">
        <v>98</v>
      </c>
      <c r="E127" s="7" t="s">
        <v>19</v>
      </c>
      <c r="F127" s="7" t="s">
        <v>106</v>
      </c>
      <c r="G127" s="7">
        <v>4</v>
      </c>
      <c r="H127" s="9">
        <v>180</v>
      </c>
      <c r="I127" s="10">
        <v>0</v>
      </c>
      <c r="J127" s="7" t="s">
        <v>70</v>
      </c>
      <c r="K127" s="7" t="s">
        <v>65</v>
      </c>
      <c r="L127" s="7" t="s">
        <v>66</v>
      </c>
      <c r="M127" s="11">
        <f t="shared" si="14"/>
        <v>720</v>
      </c>
      <c r="N127" t="str">
        <f t="shared" si="15"/>
        <v>Mar</v>
      </c>
      <c r="O127">
        <f t="shared" si="16"/>
        <v>1</v>
      </c>
      <c r="P127">
        <f>VLOOKUP(F127,Products!A:C,3,FALSE)</f>
        <v>112</v>
      </c>
      <c r="Q127" s="12">
        <f t="shared" si="17"/>
        <v>272</v>
      </c>
    </row>
    <row r="128" ht="15">
      <c r="A128" s="7" t="s">
        <v>220</v>
      </c>
      <c r="B128" s="8">
        <v>45736</v>
      </c>
      <c r="C128" s="7" t="s">
        <v>40</v>
      </c>
      <c r="D128" s="7" t="s">
        <v>80</v>
      </c>
      <c r="E128" s="7" t="s">
        <v>24</v>
      </c>
      <c r="F128" s="7" t="s">
        <v>26</v>
      </c>
      <c r="G128" s="7">
        <v>4</v>
      </c>
      <c r="H128" s="9">
        <v>3100</v>
      </c>
      <c r="I128" s="10">
        <v>5.0000000000000003e-002</v>
      </c>
      <c r="J128" s="7" t="s">
        <v>93</v>
      </c>
      <c r="K128" s="7" t="s">
        <v>71</v>
      </c>
      <c r="L128" s="7" t="s">
        <v>74</v>
      </c>
      <c r="M128" s="11">
        <f t="shared" si="14"/>
        <v>11780</v>
      </c>
      <c r="N128" t="str">
        <f t="shared" si="15"/>
        <v>Mar</v>
      </c>
      <c r="O128">
        <f t="shared" si="16"/>
        <v>1</v>
      </c>
      <c r="P128">
        <f>VLOOKUP(F128,Products!A:C,3,FALSE)</f>
        <v>1922</v>
      </c>
      <c r="Q128" s="12">
        <f t="shared" si="17"/>
        <v>4092</v>
      </c>
    </row>
    <row r="129" ht="15">
      <c r="A129" s="7" t="s">
        <v>221</v>
      </c>
      <c r="B129" s="8">
        <v>45736</v>
      </c>
      <c r="C129" s="7" t="s">
        <v>40</v>
      </c>
      <c r="D129" s="7" t="s">
        <v>80</v>
      </c>
      <c r="E129" s="7" t="s">
        <v>24</v>
      </c>
      <c r="F129" s="7" t="s">
        <v>26</v>
      </c>
      <c r="G129" s="7">
        <v>1</v>
      </c>
      <c r="H129" s="9">
        <v>3100</v>
      </c>
      <c r="I129" s="10">
        <v>0</v>
      </c>
      <c r="J129" s="7" t="s">
        <v>70</v>
      </c>
      <c r="K129" s="7" t="s">
        <v>71</v>
      </c>
      <c r="L129" s="7" t="s">
        <v>90</v>
      </c>
      <c r="M129" s="11">
        <f t="shared" si="14"/>
        <v>3100</v>
      </c>
      <c r="N129" t="str">
        <f t="shared" si="15"/>
        <v>Mar</v>
      </c>
      <c r="O129">
        <f t="shared" si="16"/>
        <v>1</v>
      </c>
      <c r="P129">
        <f>VLOOKUP(F129,Products!A:C,3,FALSE)</f>
        <v>1922</v>
      </c>
      <c r="Q129" s="12">
        <f t="shared" si="17"/>
        <v>1178</v>
      </c>
    </row>
    <row r="130" ht="15">
      <c r="A130" s="7" t="s">
        <v>222</v>
      </c>
      <c r="B130" s="8">
        <v>45737</v>
      </c>
      <c r="C130" s="7" t="s">
        <v>40</v>
      </c>
      <c r="D130" s="7" t="s">
        <v>80</v>
      </c>
      <c r="E130" s="7" t="s">
        <v>24</v>
      </c>
      <c r="F130" s="7" t="s">
        <v>96</v>
      </c>
      <c r="G130" s="7">
        <v>3</v>
      </c>
      <c r="H130" s="9">
        <v>1450</v>
      </c>
      <c r="I130" s="10">
        <v>0.10000000000000001</v>
      </c>
      <c r="J130" s="7" t="s">
        <v>89</v>
      </c>
      <c r="K130" s="7" t="s">
        <v>65</v>
      </c>
      <c r="L130" s="7" t="s">
        <v>78</v>
      </c>
      <c r="M130" s="11">
        <f t="shared" si="14"/>
        <v>3915</v>
      </c>
      <c r="N130" t="str">
        <f t="shared" si="15"/>
        <v>Mar</v>
      </c>
      <c r="O130">
        <f t="shared" si="16"/>
        <v>1</v>
      </c>
      <c r="P130">
        <f>VLOOKUP(F130,Products!A:C,3,FALSE)</f>
        <v>899</v>
      </c>
      <c r="Q130" s="12">
        <f t="shared" si="17"/>
        <v>1218</v>
      </c>
    </row>
    <row r="131" ht="15">
      <c r="A131" s="7" t="s">
        <v>223</v>
      </c>
      <c r="B131" s="8">
        <v>45737</v>
      </c>
      <c r="C131" s="7" t="s">
        <v>36</v>
      </c>
      <c r="D131" s="7" t="s">
        <v>114</v>
      </c>
      <c r="E131" s="7" t="s">
        <v>34</v>
      </c>
      <c r="F131" s="7" t="s">
        <v>92</v>
      </c>
      <c r="G131" s="7">
        <v>20</v>
      </c>
      <c r="H131" s="9">
        <v>85</v>
      </c>
      <c r="I131" s="10">
        <v>0</v>
      </c>
      <c r="J131" s="7" t="s">
        <v>89</v>
      </c>
      <c r="K131" s="7" t="s">
        <v>71</v>
      </c>
      <c r="L131" s="7" t="s">
        <v>74</v>
      </c>
      <c r="M131" s="11">
        <f t="shared" si="14"/>
        <v>1700</v>
      </c>
      <c r="N131" t="str">
        <f t="shared" si="15"/>
        <v>Mar</v>
      </c>
      <c r="O131">
        <f t="shared" si="16"/>
        <v>1</v>
      </c>
      <c r="P131">
        <f>VLOOKUP(F131,Products!A:C,3,FALSE)</f>
        <v>53</v>
      </c>
      <c r="Q131" s="12">
        <f t="shared" si="17"/>
        <v>640</v>
      </c>
    </row>
    <row r="132" ht="15">
      <c r="A132" s="7" t="s">
        <v>224</v>
      </c>
      <c r="B132" s="8">
        <v>45737</v>
      </c>
      <c r="C132" s="7" t="s">
        <v>40</v>
      </c>
      <c r="D132" s="7" t="s">
        <v>98</v>
      </c>
      <c r="E132" s="7" t="s">
        <v>34</v>
      </c>
      <c r="F132" s="7" t="s">
        <v>86</v>
      </c>
      <c r="G132" s="7">
        <v>31</v>
      </c>
      <c r="H132" s="9">
        <v>210</v>
      </c>
      <c r="I132" s="10">
        <v>0</v>
      </c>
      <c r="J132" s="7" t="s">
        <v>89</v>
      </c>
      <c r="K132" s="7" t="s">
        <v>65</v>
      </c>
      <c r="L132" s="7" t="s">
        <v>74</v>
      </c>
      <c r="M132" s="11">
        <f t="shared" si="14"/>
        <v>6510</v>
      </c>
      <c r="N132" t="str">
        <f t="shared" si="15"/>
        <v>Mar</v>
      </c>
      <c r="O132">
        <f t="shared" si="16"/>
        <v>1</v>
      </c>
      <c r="P132">
        <f>VLOOKUP(F132,Products!A:C,3,FALSE)</f>
        <v>130</v>
      </c>
      <c r="Q132" s="12">
        <f t="shared" si="17"/>
        <v>2480</v>
      </c>
    </row>
    <row r="133" ht="15">
      <c r="A133" s="7" t="s">
        <v>225</v>
      </c>
      <c r="B133" s="8">
        <v>45738</v>
      </c>
      <c r="C133" s="7" t="s">
        <v>28</v>
      </c>
      <c r="D133" s="7" t="s">
        <v>112</v>
      </c>
      <c r="E133" s="7" t="s">
        <v>24</v>
      </c>
      <c r="F133" s="7" t="s">
        <v>38</v>
      </c>
      <c r="G133" s="7">
        <v>4</v>
      </c>
      <c r="H133" s="9">
        <v>12500</v>
      </c>
      <c r="I133" s="10">
        <v>0.14999999999999999</v>
      </c>
      <c r="J133" s="7" t="s">
        <v>70</v>
      </c>
      <c r="K133" s="7" t="s">
        <v>65</v>
      </c>
      <c r="L133" s="7" t="s">
        <v>74</v>
      </c>
      <c r="M133" s="11">
        <f t="shared" si="14"/>
        <v>42500</v>
      </c>
      <c r="N133" t="str">
        <f t="shared" si="15"/>
        <v>Mar</v>
      </c>
      <c r="O133">
        <f t="shared" si="16"/>
        <v>1</v>
      </c>
      <c r="P133">
        <f>VLOOKUP(F133,Products!A:C,3,FALSE)</f>
        <v>7750</v>
      </c>
      <c r="Q133" s="12">
        <f t="shared" si="17"/>
        <v>11500</v>
      </c>
    </row>
    <row r="134" ht="15">
      <c r="A134" s="7" t="s">
        <v>226</v>
      </c>
      <c r="B134" s="8">
        <v>45738</v>
      </c>
      <c r="C134" s="7" t="s">
        <v>28</v>
      </c>
      <c r="D134" s="7" t="s">
        <v>112</v>
      </c>
      <c r="E134" s="7" t="s">
        <v>19</v>
      </c>
      <c r="F134" s="7" t="s">
        <v>106</v>
      </c>
      <c r="G134" s="7">
        <v>3</v>
      </c>
      <c r="H134" s="9">
        <v>180</v>
      </c>
      <c r="I134" s="10">
        <v>0.14999999999999999</v>
      </c>
      <c r="J134" s="7" t="s">
        <v>103</v>
      </c>
      <c r="K134" s="7" t="s">
        <v>71</v>
      </c>
      <c r="L134" s="7" t="s">
        <v>78</v>
      </c>
      <c r="M134" s="11">
        <f t="shared" si="14"/>
        <v>459</v>
      </c>
      <c r="N134" t="str">
        <f t="shared" si="15"/>
        <v>Mar</v>
      </c>
      <c r="O134">
        <f t="shared" si="16"/>
        <v>1</v>
      </c>
      <c r="P134">
        <f>VLOOKUP(F134,Products!A:C,3,FALSE)</f>
        <v>112</v>
      </c>
      <c r="Q134" s="12">
        <f t="shared" si="17"/>
        <v>123</v>
      </c>
    </row>
    <row r="135" ht="15">
      <c r="A135" s="7" t="s">
        <v>227</v>
      </c>
      <c r="B135" s="8">
        <v>45739</v>
      </c>
      <c r="C135" s="7" t="s">
        <v>33</v>
      </c>
      <c r="D135" s="7" t="s">
        <v>102</v>
      </c>
      <c r="E135" s="7" t="s">
        <v>34</v>
      </c>
      <c r="F135" s="7" t="s">
        <v>86</v>
      </c>
      <c r="G135" s="7">
        <v>16</v>
      </c>
      <c r="H135" s="9">
        <v>210</v>
      </c>
      <c r="I135" s="10">
        <v>5.0000000000000003e-002</v>
      </c>
      <c r="J135" s="7" t="s">
        <v>64</v>
      </c>
      <c r="K135" s="7" t="s">
        <v>71</v>
      </c>
      <c r="L135" s="7" t="s">
        <v>78</v>
      </c>
      <c r="M135" s="11">
        <f t="shared" si="14"/>
        <v>3192</v>
      </c>
      <c r="N135" t="str">
        <f t="shared" si="15"/>
        <v>Mar</v>
      </c>
      <c r="O135">
        <f t="shared" si="16"/>
        <v>1</v>
      </c>
      <c r="P135">
        <f>VLOOKUP(F135,Products!A:C,3,FALSE)</f>
        <v>130</v>
      </c>
      <c r="Q135" s="12">
        <f t="shared" si="17"/>
        <v>1112</v>
      </c>
    </row>
    <row r="136" ht="15">
      <c r="A136" s="7" t="s">
        <v>228</v>
      </c>
      <c r="B136" s="8">
        <v>45739</v>
      </c>
      <c r="C136" s="7" t="s">
        <v>33</v>
      </c>
      <c r="D136" s="7" t="s">
        <v>68</v>
      </c>
      <c r="E136" s="7" t="s">
        <v>19</v>
      </c>
      <c r="F136" s="7" t="s">
        <v>77</v>
      </c>
      <c r="G136" s="7">
        <v>2</v>
      </c>
      <c r="H136" s="9">
        <v>520</v>
      </c>
      <c r="I136" s="10">
        <v>0.14999999999999999</v>
      </c>
      <c r="J136" s="7" t="s">
        <v>93</v>
      </c>
      <c r="K136" s="7" t="s">
        <v>71</v>
      </c>
      <c r="L136" s="7" t="s">
        <v>78</v>
      </c>
      <c r="M136" s="11">
        <f t="shared" si="14"/>
        <v>884</v>
      </c>
      <c r="N136" t="str">
        <f t="shared" si="15"/>
        <v>Mar</v>
      </c>
      <c r="O136">
        <f t="shared" si="16"/>
        <v>1</v>
      </c>
      <c r="P136">
        <f>VLOOKUP(F136,Products!A:C,3,FALSE)</f>
        <v>322</v>
      </c>
      <c r="Q136" s="12">
        <f t="shared" si="17"/>
        <v>240</v>
      </c>
    </row>
    <row r="137" ht="15">
      <c r="A137" s="7" t="s">
        <v>229</v>
      </c>
      <c r="B137" s="8">
        <v>45739</v>
      </c>
      <c r="C137" s="7" t="s">
        <v>33</v>
      </c>
      <c r="D137" s="7" t="s">
        <v>102</v>
      </c>
      <c r="E137" s="7" t="s">
        <v>24</v>
      </c>
      <c r="F137" s="7" t="s">
        <v>26</v>
      </c>
      <c r="G137" s="7">
        <v>3</v>
      </c>
      <c r="H137" s="9">
        <v>3100</v>
      </c>
      <c r="I137" s="10">
        <v>0</v>
      </c>
      <c r="J137" s="7" t="s">
        <v>70</v>
      </c>
      <c r="K137" s="7" t="s">
        <v>71</v>
      </c>
      <c r="L137" s="7" t="s">
        <v>90</v>
      </c>
      <c r="M137" s="11">
        <f t="shared" si="14"/>
        <v>9300</v>
      </c>
      <c r="N137" t="str">
        <f t="shared" si="15"/>
        <v>Mar</v>
      </c>
      <c r="O137">
        <f t="shared" si="16"/>
        <v>1</v>
      </c>
      <c r="P137">
        <f>VLOOKUP(F137,Products!A:C,3,FALSE)</f>
        <v>1922</v>
      </c>
      <c r="Q137" s="12">
        <f t="shared" si="17"/>
        <v>3534</v>
      </c>
    </row>
    <row r="138" ht="15">
      <c r="A138" s="7" t="s">
        <v>230</v>
      </c>
      <c r="B138" s="8">
        <v>45740</v>
      </c>
      <c r="C138" s="7" t="s">
        <v>23</v>
      </c>
      <c r="D138" s="7" t="s">
        <v>105</v>
      </c>
      <c r="E138" s="7" t="s">
        <v>24</v>
      </c>
      <c r="F138" s="7" t="s">
        <v>31</v>
      </c>
      <c r="G138" s="7">
        <v>3</v>
      </c>
      <c r="H138" s="9">
        <v>5400</v>
      </c>
      <c r="I138" s="10">
        <v>0</v>
      </c>
      <c r="J138" s="7" t="s">
        <v>103</v>
      </c>
      <c r="K138" s="7" t="s">
        <v>65</v>
      </c>
      <c r="L138" s="7" t="s">
        <v>90</v>
      </c>
      <c r="M138" s="11">
        <f t="shared" si="14"/>
        <v>16200</v>
      </c>
      <c r="N138" t="str">
        <f t="shared" si="15"/>
        <v>Mar</v>
      </c>
      <c r="O138">
        <f t="shared" si="16"/>
        <v>1</v>
      </c>
      <c r="P138">
        <f>VLOOKUP(F138,Products!A:C,3,FALSE)</f>
        <v>3348</v>
      </c>
      <c r="Q138" s="12">
        <f t="shared" si="17"/>
        <v>6156</v>
      </c>
    </row>
    <row r="139" ht="15">
      <c r="A139" s="7" t="s">
        <v>231</v>
      </c>
      <c r="B139" s="8">
        <v>45741</v>
      </c>
      <c r="C139" s="7" t="s">
        <v>40</v>
      </c>
      <c r="D139" s="7" t="s">
        <v>98</v>
      </c>
      <c r="E139" s="7" t="s">
        <v>34</v>
      </c>
      <c r="F139" s="7" t="s">
        <v>86</v>
      </c>
      <c r="G139" s="7">
        <v>5</v>
      </c>
      <c r="H139" s="9">
        <v>210</v>
      </c>
      <c r="I139" s="10">
        <v>0.14999999999999999</v>
      </c>
      <c r="J139" s="7" t="s">
        <v>93</v>
      </c>
      <c r="K139" s="7" t="s">
        <v>71</v>
      </c>
      <c r="L139" s="7" t="s">
        <v>74</v>
      </c>
      <c r="M139" s="11">
        <f t="shared" si="14"/>
        <v>892.5</v>
      </c>
      <c r="N139" t="str">
        <f t="shared" si="15"/>
        <v>Mar</v>
      </c>
      <c r="O139">
        <f t="shared" si="16"/>
        <v>1</v>
      </c>
      <c r="P139">
        <f>VLOOKUP(F139,Products!A:C,3,FALSE)</f>
        <v>130</v>
      </c>
      <c r="Q139" s="12">
        <f t="shared" si="17"/>
        <v>242.5</v>
      </c>
    </row>
    <row r="140" ht="15">
      <c r="A140" s="7" t="s">
        <v>232</v>
      </c>
      <c r="B140" s="8">
        <v>45742</v>
      </c>
      <c r="C140" s="7" t="s">
        <v>36</v>
      </c>
      <c r="D140" s="7" t="s">
        <v>76</v>
      </c>
      <c r="E140" s="7" t="s">
        <v>24</v>
      </c>
      <c r="F140" s="7" t="s">
        <v>31</v>
      </c>
      <c r="G140" s="7">
        <v>4</v>
      </c>
      <c r="H140" s="9">
        <v>5400</v>
      </c>
      <c r="I140" s="10">
        <v>0.10000000000000001</v>
      </c>
      <c r="J140" s="7" t="s">
        <v>93</v>
      </c>
      <c r="K140" s="7" t="s">
        <v>65</v>
      </c>
      <c r="L140" s="7" t="s">
        <v>78</v>
      </c>
      <c r="M140" s="11">
        <f t="shared" si="14"/>
        <v>19440</v>
      </c>
      <c r="N140" t="str">
        <f t="shared" si="15"/>
        <v>Mar</v>
      </c>
      <c r="O140">
        <f t="shared" si="16"/>
        <v>1</v>
      </c>
      <c r="P140">
        <f>VLOOKUP(F140,Products!A:C,3,FALSE)</f>
        <v>3348</v>
      </c>
      <c r="Q140" s="12">
        <f t="shared" si="17"/>
        <v>6048</v>
      </c>
    </row>
    <row r="141" ht="15">
      <c r="A141" s="7" t="s">
        <v>233</v>
      </c>
      <c r="B141" s="8">
        <v>45742</v>
      </c>
      <c r="C141" s="7" t="s">
        <v>28</v>
      </c>
      <c r="D141" s="7" t="s">
        <v>112</v>
      </c>
      <c r="E141" s="7" t="s">
        <v>24</v>
      </c>
      <c r="F141" s="7" t="s">
        <v>31</v>
      </c>
      <c r="G141" s="7">
        <v>3</v>
      </c>
      <c r="H141" s="9">
        <v>5400</v>
      </c>
      <c r="I141" s="10">
        <v>0</v>
      </c>
      <c r="J141" s="7" t="s">
        <v>103</v>
      </c>
      <c r="K141" s="7" t="s">
        <v>65</v>
      </c>
      <c r="L141" s="7" t="s">
        <v>74</v>
      </c>
      <c r="M141" s="11">
        <f t="shared" si="14"/>
        <v>16200</v>
      </c>
      <c r="N141" t="str">
        <f t="shared" si="15"/>
        <v>Mar</v>
      </c>
      <c r="O141">
        <f t="shared" si="16"/>
        <v>1</v>
      </c>
      <c r="P141">
        <f>VLOOKUP(F141,Products!A:C,3,FALSE)</f>
        <v>3348</v>
      </c>
      <c r="Q141" s="12">
        <f t="shared" si="17"/>
        <v>6156</v>
      </c>
    </row>
    <row r="142" ht="15">
      <c r="A142" s="7" t="s">
        <v>234</v>
      </c>
      <c r="B142" s="8">
        <v>45743</v>
      </c>
      <c r="C142" s="7" t="s">
        <v>36</v>
      </c>
      <c r="D142" s="7" t="s">
        <v>76</v>
      </c>
      <c r="E142" s="7" t="s">
        <v>29</v>
      </c>
      <c r="F142" s="7" t="s">
        <v>81</v>
      </c>
      <c r="G142" s="7">
        <v>3</v>
      </c>
      <c r="H142" s="9">
        <v>1900</v>
      </c>
      <c r="I142" s="10">
        <v>0.10000000000000001</v>
      </c>
      <c r="J142" s="7" t="s">
        <v>89</v>
      </c>
      <c r="K142" s="7" t="s">
        <v>65</v>
      </c>
      <c r="L142" s="7" t="s">
        <v>66</v>
      </c>
      <c r="M142" s="11">
        <f t="shared" si="14"/>
        <v>5130</v>
      </c>
      <c r="N142" t="str">
        <f t="shared" si="15"/>
        <v>Mar</v>
      </c>
      <c r="O142">
        <f t="shared" si="16"/>
        <v>1</v>
      </c>
      <c r="P142">
        <f>VLOOKUP(F142,Products!A:C,3,FALSE)</f>
        <v>1178</v>
      </c>
      <c r="Q142" s="12">
        <f t="shared" si="17"/>
        <v>1596</v>
      </c>
    </row>
    <row r="143" ht="15">
      <c r="A143" s="7" t="s">
        <v>235</v>
      </c>
      <c r="B143" s="8">
        <v>45744</v>
      </c>
      <c r="C143" s="7" t="s">
        <v>40</v>
      </c>
      <c r="D143" s="7" t="s">
        <v>98</v>
      </c>
      <c r="E143" s="7" t="s">
        <v>34</v>
      </c>
      <c r="F143" s="7" t="s">
        <v>86</v>
      </c>
      <c r="G143" s="7">
        <v>8</v>
      </c>
      <c r="H143" s="9">
        <v>210</v>
      </c>
      <c r="I143" s="10">
        <v>0.14999999999999999</v>
      </c>
      <c r="J143" s="7" t="s">
        <v>103</v>
      </c>
      <c r="K143" s="7" t="s">
        <v>65</v>
      </c>
      <c r="L143" s="7" t="s">
        <v>74</v>
      </c>
      <c r="M143" s="11">
        <f t="shared" si="14"/>
        <v>1428</v>
      </c>
      <c r="N143" t="str">
        <f t="shared" si="15"/>
        <v>Mar</v>
      </c>
      <c r="O143">
        <f t="shared" si="16"/>
        <v>1</v>
      </c>
      <c r="P143">
        <f>VLOOKUP(F143,Products!A:C,3,FALSE)</f>
        <v>130</v>
      </c>
      <c r="Q143" s="12">
        <f t="shared" si="17"/>
        <v>388</v>
      </c>
    </row>
    <row r="144" ht="15">
      <c r="A144" s="7" t="s">
        <v>236</v>
      </c>
      <c r="B144" s="8">
        <v>45745</v>
      </c>
      <c r="C144" s="7" t="s">
        <v>36</v>
      </c>
      <c r="D144" s="7" t="s">
        <v>76</v>
      </c>
      <c r="E144" s="7" t="s">
        <v>29</v>
      </c>
      <c r="F144" s="7" t="s">
        <v>21</v>
      </c>
      <c r="G144" s="7">
        <v>1</v>
      </c>
      <c r="H144" s="9">
        <v>3600</v>
      </c>
      <c r="I144" s="10">
        <v>0.14999999999999999</v>
      </c>
      <c r="J144" s="7" t="s">
        <v>93</v>
      </c>
      <c r="K144" s="7" t="s">
        <v>65</v>
      </c>
      <c r="L144" s="7" t="s">
        <v>74</v>
      </c>
      <c r="M144" s="11">
        <f t="shared" si="14"/>
        <v>3060</v>
      </c>
      <c r="N144" t="str">
        <f t="shared" si="15"/>
        <v>Mar</v>
      </c>
      <c r="O144">
        <f t="shared" si="16"/>
        <v>1</v>
      </c>
      <c r="P144">
        <f>VLOOKUP(F144,Products!A:C,3,FALSE)</f>
        <v>2232</v>
      </c>
      <c r="Q144" s="12">
        <f t="shared" si="17"/>
        <v>828</v>
      </c>
    </row>
    <row r="145" ht="15">
      <c r="A145" s="7" t="s">
        <v>237</v>
      </c>
      <c r="B145" s="8">
        <v>45747</v>
      </c>
      <c r="C145" s="7" t="s">
        <v>28</v>
      </c>
      <c r="D145" s="7" t="s">
        <v>112</v>
      </c>
      <c r="E145" s="7" t="s">
        <v>24</v>
      </c>
      <c r="F145" s="7" t="s">
        <v>96</v>
      </c>
      <c r="G145" s="7">
        <v>2</v>
      </c>
      <c r="H145" s="9">
        <v>1450</v>
      </c>
      <c r="I145" s="10">
        <v>5.0000000000000003e-002</v>
      </c>
      <c r="J145" s="7" t="s">
        <v>89</v>
      </c>
      <c r="K145" s="7" t="s">
        <v>71</v>
      </c>
      <c r="L145" s="7" t="s">
        <v>66</v>
      </c>
      <c r="M145" s="11">
        <f t="shared" si="14"/>
        <v>2755</v>
      </c>
      <c r="N145" t="str">
        <f t="shared" si="15"/>
        <v>Mar</v>
      </c>
      <c r="O145">
        <f t="shared" si="16"/>
        <v>1</v>
      </c>
      <c r="P145">
        <f>VLOOKUP(F145,Products!A:C,3,FALSE)</f>
        <v>899</v>
      </c>
      <c r="Q145" s="12">
        <f t="shared" si="17"/>
        <v>957</v>
      </c>
    </row>
    <row r="146" ht="15">
      <c r="A146" s="7" t="s">
        <v>238</v>
      </c>
      <c r="B146" s="8">
        <v>45747</v>
      </c>
      <c r="C146" s="7" t="s">
        <v>36</v>
      </c>
      <c r="D146" s="7" t="s">
        <v>76</v>
      </c>
      <c r="E146" s="7" t="s">
        <v>29</v>
      </c>
      <c r="F146" s="7" t="s">
        <v>21</v>
      </c>
      <c r="G146" s="7">
        <v>2</v>
      </c>
      <c r="H146" s="9">
        <v>3600</v>
      </c>
      <c r="I146" s="10">
        <v>0</v>
      </c>
      <c r="J146" s="7" t="s">
        <v>89</v>
      </c>
      <c r="K146" s="7" t="s">
        <v>71</v>
      </c>
      <c r="L146" s="7" t="s">
        <v>78</v>
      </c>
      <c r="M146" s="11">
        <f t="shared" si="14"/>
        <v>7200</v>
      </c>
      <c r="N146" t="str">
        <f t="shared" si="15"/>
        <v>Mar</v>
      </c>
      <c r="O146">
        <f t="shared" si="16"/>
        <v>1</v>
      </c>
      <c r="P146">
        <f>VLOOKUP(F146,Products!A:C,3,FALSE)</f>
        <v>2232</v>
      </c>
      <c r="Q146" s="12">
        <f t="shared" si="17"/>
        <v>2736</v>
      </c>
    </row>
    <row r="147" ht="15">
      <c r="A147" s="7" t="s">
        <v>239</v>
      </c>
      <c r="B147" s="8">
        <v>45748</v>
      </c>
      <c r="C147" s="7" t="s">
        <v>33</v>
      </c>
      <c r="D147" s="7" t="s">
        <v>68</v>
      </c>
      <c r="E147" s="7" t="s">
        <v>34</v>
      </c>
      <c r="F147" s="7" t="s">
        <v>69</v>
      </c>
      <c r="G147" s="7">
        <v>9</v>
      </c>
      <c r="H147" s="9">
        <v>120</v>
      </c>
      <c r="I147" s="10">
        <v>0.10000000000000001</v>
      </c>
      <c r="J147" s="7" t="s">
        <v>103</v>
      </c>
      <c r="K147" s="7" t="s">
        <v>65</v>
      </c>
      <c r="L147" s="7" t="s">
        <v>74</v>
      </c>
      <c r="M147" s="11">
        <f t="shared" si="14"/>
        <v>972</v>
      </c>
      <c r="N147" t="str">
        <f t="shared" si="15"/>
        <v>Apr</v>
      </c>
      <c r="O147">
        <f t="shared" si="16"/>
        <v>2</v>
      </c>
      <c r="P147">
        <f>VLOOKUP(F147,Products!A:C,3,FALSE)</f>
        <v>74</v>
      </c>
      <c r="Q147" s="12">
        <f t="shared" si="17"/>
        <v>306</v>
      </c>
    </row>
    <row r="148" ht="15">
      <c r="A148" s="7" t="s">
        <v>240</v>
      </c>
      <c r="B148" s="8">
        <v>45749</v>
      </c>
      <c r="C148" s="7" t="s">
        <v>33</v>
      </c>
      <c r="D148" s="7" t="s">
        <v>102</v>
      </c>
      <c r="E148" s="7" t="s">
        <v>34</v>
      </c>
      <c r="F148" s="7" t="s">
        <v>92</v>
      </c>
      <c r="G148" s="7">
        <v>25</v>
      </c>
      <c r="H148" s="9">
        <v>85</v>
      </c>
      <c r="I148" s="10">
        <v>0.10000000000000001</v>
      </c>
      <c r="J148" s="7" t="s">
        <v>70</v>
      </c>
      <c r="K148" s="7" t="s">
        <v>65</v>
      </c>
      <c r="L148" s="7" t="s">
        <v>74</v>
      </c>
      <c r="M148" s="11">
        <f t="shared" si="14"/>
        <v>1912.5</v>
      </c>
      <c r="N148" t="str">
        <f t="shared" si="15"/>
        <v>Apr</v>
      </c>
      <c r="O148">
        <f t="shared" si="16"/>
        <v>2</v>
      </c>
      <c r="P148">
        <f>VLOOKUP(F148,Products!A:C,3,FALSE)</f>
        <v>53</v>
      </c>
      <c r="Q148" s="12">
        <f t="shared" si="17"/>
        <v>587.5</v>
      </c>
    </row>
    <row r="149" ht="15">
      <c r="A149" s="7" t="s">
        <v>241</v>
      </c>
      <c r="B149" s="8">
        <v>45749</v>
      </c>
      <c r="C149" s="7" t="s">
        <v>33</v>
      </c>
      <c r="D149" s="7" t="s">
        <v>102</v>
      </c>
      <c r="E149" s="7" t="s">
        <v>19</v>
      </c>
      <c r="F149" s="7" t="s">
        <v>73</v>
      </c>
      <c r="G149" s="7">
        <v>4</v>
      </c>
      <c r="H149" s="9">
        <v>650</v>
      </c>
      <c r="I149" s="10">
        <v>0</v>
      </c>
      <c r="J149" s="7" t="s">
        <v>70</v>
      </c>
      <c r="K149" s="7" t="s">
        <v>65</v>
      </c>
      <c r="L149" s="7" t="s">
        <v>90</v>
      </c>
      <c r="M149" s="11">
        <f t="shared" si="14"/>
        <v>2600</v>
      </c>
      <c r="N149" t="str">
        <f t="shared" si="15"/>
        <v>Apr</v>
      </c>
      <c r="O149">
        <f t="shared" si="16"/>
        <v>2</v>
      </c>
      <c r="P149">
        <f>VLOOKUP(F149,Products!A:C,3,FALSE)</f>
        <v>403</v>
      </c>
      <c r="Q149" s="12">
        <f t="shared" si="17"/>
        <v>988</v>
      </c>
    </row>
    <row r="150" ht="15">
      <c r="A150" s="7" t="s">
        <v>242</v>
      </c>
      <c r="B150" s="8">
        <v>45750</v>
      </c>
      <c r="C150" s="7" t="s">
        <v>33</v>
      </c>
      <c r="D150" s="7" t="s">
        <v>68</v>
      </c>
      <c r="E150" s="7" t="s">
        <v>29</v>
      </c>
      <c r="F150" s="7" t="s">
        <v>81</v>
      </c>
      <c r="G150" s="7">
        <v>3</v>
      </c>
      <c r="H150" s="9">
        <v>1900</v>
      </c>
      <c r="I150" s="10">
        <v>0.14999999999999999</v>
      </c>
      <c r="J150" s="7" t="s">
        <v>103</v>
      </c>
      <c r="K150" s="7" t="s">
        <v>65</v>
      </c>
      <c r="L150" s="7" t="s">
        <v>78</v>
      </c>
      <c r="M150" s="11">
        <f t="shared" si="14"/>
        <v>4845</v>
      </c>
      <c r="N150" t="str">
        <f t="shared" si="15"/>
        <v>Apr</v>
      </c>
      <c r="O150">
        <f t="shared" si="16"/>
        <v>2</v>
      </c>
      <c r="P150">
        <f>VLOOKUP(F150,Products!A:C,3,FALSE)</f>
        <v>1178</v>
      </c>
      <c r="Q150" s="12">
        <f t="shared" si="17"/>
        <v>1311</v>
      </c>
    </row>
    <row r="151" ht="15">
      <c r="A151" s="7" t="s">
        <v>243</v>
      </c>
      <c r="B151" s="8">
        <v>45750</v>
      </c>
      <c r="C151" s="7" t="s">
        <v>40</v>
      </c>
      <c r="D151" s="7" t="s">
        <v>98</v>
      </c>
      <c r="E151" s="7" t="s">
        <v>19</v>
      </c>
      <c r="F151" s="7" t="s">
        <v>73</v>
      </c>
      <c r="G151" s="7">
        <v>1</v>
      </c>
      <c r="H151" s="9">
        <v>650</v>
      </c>
      <c r="I151" s="10">
        <v>5.0000000000000003e-002</v>
      </c>
      <c r="J151" s="7" t="s">
        <v>93</v>
      </c>
      <c r="K151" s="7" t="s">
        <v>71</v>
      </c>
      <c r="L151" s="7" t="s">
        <v>78</v>
      </c>
      <c r="M151" s="11">
        <f t="shared" si="14"/>
        <v>617.5</v>
      </c>
      <c r="N151" t="str">
        <f t="shared" si="15"/>
        <v>Apr</v>
      </c>
      <c r="O151">
        <f t="shared" si="16"/>
        <v>2</v>
      </c>
      <c r="P151">
        <f>VLOOKUP(F151,Products!A:C,3,FALSE)</f>
        <v>403</v>
      </c>
      <c r="Q151" s="12">
        <f t="shared" si="17"/>
        <v>214.5</v>
      </c>
    </row>
    <row r="152" ht="15">
      <c r="A152" s="7" t="s">
        <v>244</v>
      </c>
      <c r="B152" s="8">
        <v>45751</v>
      </c>
      <c r="C152" s="7" t="s">
        <v>28</v>
      </c>
      <c r="D152" s="7" t="s">
        <v>112</v>
      </c>
      <c r="E152" s="7" t="s">
        <v>24</v>
      </c>
      <c r="F152" s="7" t="s">
        <v>35</v>
      </c>
      <c r="G152" s="7">
        <v>1</v>
      </c>
      <c r="H152" s="9">
        <v>8200</v>
      </c>
      <c r="I152" s="10">
        <v>0</v>
      </c>
      <c r="J152" s="7" t="s">
        <v>70</v>
      </c>
      <c r="K152" s="7" t="s">
        <v>65</v>
      </c>
      <c r="L152" s="7" t="s">
        <v>74</v>
      </c>
      <c r="M152" s="11">
        <f t="shared" si="14"/>
        <v>8200</v>
      </c>
      <c r="N152" t="str">
        <f t="shared" si="15"/>
        <v>Apr</v>
      </c>
      <c r="O152">
        <f t="shared" si="16"/>
        <v>2</v>
      </c>
      <c r="P152">
        <f>VLOOKUP(F152,Products!A:C,3,FALSE)</f>
        <v>5084</v>
      </c>
      <c r="Q152" s="12">
        <f t="shared" si="17"/>
        <v>3116</v>
      </c>
    </row>
    <row r="153" ht="15">
      <c r="A153" s="7" t="s">
        <v>245</v>
      </c>
      <c r="B153" s="8">
        <v>45752</v>
      </c>
      <c r="C153" s="7" t="s">
        <v>36</v>
      </c>
      <c r="D153" s="7" t="s">
        <v>76</v>
      </c>
      <c r="E153" s="7" t="s">
        <v>19</v>
      </c>
      <c r="F153" s="7" t="s">
        <v>106</v>
      </c>
      <c r="G153" s="7">
        <v>3</v>
      </c>
      <c r="H153" s="9">
        <v>180</v>
      </c>
      <c r="I153" s="10">
        <v>5.0000000000000003e-002</v>
      </c>
      <c r="J153" s="7" t="s">
        <v>70</v>
      </c>
      <c r="K153" s="7" t="s">
        <v>71</v>
      </c>
      <c r="L153" s="7" t="s">
        <v>90</v>
      </c>
      <c r="M153" s="11">
        <f t="shared" si="14"/>
        <v>513</v>
      </c>
      <c r="N153" t="str">
        <f t="shared" si="15"/>
        <v>Apr</v>
      </c>
      <c r="O153">
        <f t="shared" si="16"/>
        <v>2</v>
      </c>
      <c r="P153">
        <f>VLOOKUP(F153,Products!A:C,3,FALSE)</f>
        <v>112</v>
      </c>
      <c r="Q153" s="12">
        <f t="shared" si="17"/>
        <v>177</v>
      </c>
    </row>
    <row r="154" ht="15">
      <c r="A154" s="7" t="s">
        <v>246</v>
      </c>
      <c r="B154" s="8">
        <v>45753</v>
      </c>
      <c r="C154" s="7" t="s">
        <v>40</v>
      </c>
      <c r="D154" s="7" t="s">
        <v>80</v>
      </c>
      <c r="E154" s="7" t="s">
        <v>29</v>
      </c>
      <c r="F154" s="7" t="s">
        <v>21</v>
      </c>
      <c r="G154" s="7">
        <v>2</v>
      </c>
      <c r="H154" s="9">
        <v>3600</v>
      </c>
      <c r="I154" s="10">
        <v>0.14999999999999999</v>
      </c>
      <c r="J154" s="7" t="s">
        <v>93</v>
      </c>
      <c r="K154" s="7" t="s">
        <v>65</v>
      </c>
      <c r="L154" s="7" t="s">
        <v>90</v>
      </c>
      <c r="M154" s="11">
        <f t="shared" si="14"/>
        <v>6120</v>
      </c>
      <c r="N154" t="str">
        <f t="shared" si="15"/>
        <v>Apr</v>
      </c>
      <c r="O154">
        <f t="shared" si="16"/>
        <v>2</v>
      </c>
      <c r="P154">
        <f>VLOOKUP(F154,Products!A:C,3,FALSE)</f>
        <v>2232</v>
      </c>
      <c r="Q154" s="12">
        <f t="shared" si="17"/>
        <v>1656</v>
      </c>
    </row>
    <row r="155" ht="15">
      <c r="A155" s="7" t="s">
        <v>247</v>
      </c>
      <c r="B155" s="8">
        <v>45755</v>
      </c>
      <c r="C155" s="7" t="s">
        <v>40</v>
      </c>
      <c r="D155" s="7" t="s">
        <v>98</v>
      </c>
      <c r="E155" s="7" t="s">
        <v>34</v>
      </c>
      <c r="F155" s="7" t="s">
        <v>69</v>
      </c>
      <c r="G155" s="7">
        <v>5</v>
      </c>
      <c r="H155" s="9">
        <v>120</v>
      </c>
      <c r="I155" s="10">
        <v>0</v>
      </c>
      <c r="J155" s="7" t="s">
        <v>93</v>
      </c>
      <c r="K155" s="7" t="s">
        <v>65</v>
      </c>
      <c r="L155" s="7" t="s">
        <v>90</v>
      </c>
      <c r="M155" s="11">
        <f t="shared" si="14"/>
        <v>600</v>
      </c>
      <c r="N155" t="str">
        <f t="shared" si="15"/>
        <v>Apr</v>
      </c>
      <c r="O155">
        <f t="shared" si="16"/>
        <v>2</v>
      </c>
      <c r="P155">
        <f>VLOOKUP(F155,Products!A:C,3,FALSE)</f>
        <v>74</v>
      </c>
      <c r="Q155" s="12">
        <f t="shared" si="17"/>
        <v>230</v>
      </c>
    </row>
    <row r="156" ht="15">
      <c r="A156" s="7" t="s">
        <v>248</v>
      </c>
      <c r="B156" s="8">
        <v>45755</v>
      </c>
      <c r="C156" s="7" t="s">
        <v>40</v>
      </c>
      <c r="D156" s="7" t="s">
        <v>98</v>
      </c>
      <c r="E156" s="7" t="s">
        <v>34</v>
      </c>
      <c r="F156" s="7" t="s">
        <v>69</v>
      </c>
      <c r="G156" s="7">
        <v>20</v>
      </c>
      <c r="H156" s="9">
        <v>120</v>
      </c>
      <c r="I156" s="10">
        <v>5.0000000000000003e-002</v>
      </c>
      <c r="J156" s="7" t="s">
        <v>93</v>
      </c>
      <c r="K156" s="7" t="s">
        <v>65</v>
      </c>
      <c r="L156" s="7" t="s">
        <v>74</v>
      </c>
      <c r="M156" s="11">
        <f t="shared" si="14"/>
        <v>2280</v>
      </c>
      <c r="N156" t="str">
        <f t="shared" si="15"/>
        <v>Apr</v>
      </c>
      <c r="O156">
        <f t="shared" si="16"/>
        <v>2</v>
      </c>
      <c r="P156">
        <f>VLOOKUP(F156,Products!A:C,3,FALSE)</f>
        <v>74</v>
      </c>
      <c r="Q156" s="12">
        <f t="shared" si="17"/>
        <v>800</v>
      </c>
    </row>
    <row r="157" ht="15">
      <c r="A157" s="7" t="s">
        <v>249</v>
      </c>
      <c r="B157" s="8">
        <v>45756</v>
      </c>
      <c r="C157" s="7" t="s">
        <v>36</v>
      </c>
      <c r="D157" s="7" t="s">
        <v>114</v>
      </c>
      <c r="E157" s="7" t="s">
        <v>19</v>
      </c>
      <c r="F157" s="7" t="s">
        <v>73</v>
      </c>
      <c r="G157" s="7">
        <v>4</v>
      </c>
      <c r="H157" s="9">
        <v>650</v>
      </c>
      <c r="I157" s="10">
        <v>0.10000000000000001</v>
      </c>
      <c r="J157" s="7" t="s">
        <v>103</v>
      </c>
      <c r="K157" s="7" t="s">
        <v>65</v>
      </c>
      <c r="L157" s="7" t="s">
        <v>78</v>
      </c>
      <c r="M157" s="11">
        <f t="shared" si="14"/>
        <v>2340</v>
      </c>
      <c r="N157" t="str">
        <f t="shared" si="15"/>
        <v>Apr</v>
      </c>
      <c r="O157">
        <f t="shared" si="16"/>
        <v>2</v>
      </c>
      <c r="P157">
        <f>VLOOKUP(F157,Products!A:C,3,FALSE)</f>
        <v>403</v>
      </c>
      <c r="Q157" s="12">
        <f t="shared" si="17"/>
        <v>728</v>
      </c>
    </row>
    <row r="158" ht="15">
      <c r="A158" s="7" t="s">
        <v>250</v>
      </c>
      <c r="B158" s="8">
        <v>45756</v>
      </c>
      <c r="C158" s="7" t="s">
        <v>33</v>
      </c>
      <c r="D158" s="7" t="s">
        <v>68</v>
      </c>
      <c r="E158" s="7" t="s">
        <v>24</v>
      </c>
      <c r="F158" s="7" t="s">
        <v>35</v>
      </c>
      <c r="G158" s="7">
        <v>1</v>
      </c>
      <c r="H158" s="9">
        <v>8200</v>
      </c>
      <c r="I158" s="10">
        <v>0</v>
      </c>
      <c r="J158" s="7" t="s">
        <v>89</v>
      </c>
      <c r="K158" s="7" t="s">
        <v>65</v>
      </c>
      <c r="L158" s="7" t="s">
        <v>90</v>
      </c>
      <c r="M158" s="11">
        <f t="shared" si="14"/>
        <v>8200</v>
      </c>
      <c r="N158" t="str">
        <f t="shared" si="15"/>
        <v>Apr</v>
      </c>
      <c r="O158">
        <f t="shared" si="16"/>
        <v>2</v>
      </c>
      <c r="P158">
        <f>VLOOKUP(F158,Products!A:C,3,FALSE)</f>
        <v>5084</v>
      </c>
      <c r="Q158" s="12">
        <f t="shared" si="17"/>
        <v>3116</v>
      </c>
    </row>
    <row r="159" ht="15">
      <c r="A159" s="7" t="s">
        <v>251</v>
      </c>
      <c r="B159" s="8">
        <v>45756</v>
      </c>
      <c r="C159" s="7" t="s">
        <v>33</v>
      </c>
      <c r="D159" s="7" t="s">
        <v>102</v>
      </c>
      <c r="E159" s="7" t="s">
        <v>24</v>
      </c>
      <c r="F159" s="7" t="s">
        <v>96</v>
      </c>
      <c r="G159" s="7">
        <v>2</v>
      </c>
      <c r="H159" s="9">
        <v>1450</v>
      </c>
      <c r="I159" s="10">
        <v>0.10000000000000001</v>
      </c>
      <c r="J159" s="7" t="s">
        <v>93</v>
      </c>
      <c r="K159" s="7" t="s">
        <v>65</v>
      </c>
      <c r="L159" s="7" t="s">
        <v>66</v>
      </c>
      <c r="M159" s="11">
        <f t="shared" si="14"/>
        <v>2610</v>
      </c>
      <c r="N159" t="str">
        <f t="shared" si="15"/>
        <v>Apr</v>
      </c>
      <c r="O159">
        <f t="shared" si="16"/>
        <v>2</v>
      </c>
      <c r="P159">
        <f>VLOOKUP(F159,Products!A:C,3,FALSE)</f>
        <v>899</v>
      </c>
      <c r="Q159" s="12">
        <f t="shared" si="17"/>
        <v>812</v>
      </c>
    </row>
    <row r="160" ht="15">
      <c r="A160" s="7" t="s">
        <v>252</v>
      </c>
      <c r="B160" s="8">
        <v>45758</v>
      </c>
      <c r="C160" s="7" t="s">
        <v>33</v>
      </c>
      <c r="D160" s="7" t="s">
        <v>68</v>
      </c>
      <c r="E160" s="7" t="s">
        <v>34</v>
      </c>
      <c r="F160" s="7" t="s">
        <v>92</v>
      </c>
      <c r="G160" s="7">
        <v>20</v>
      </c>
      <c r="H160" s="9">
        <v>85</v>
      </c>
      <c r="I160" s="10">
        <v>0</v>
      </c>
      <c r="J160" s="7" t="s">
        <v>64</v>
      </c>
      <c r="K160" s="7" t="s">
        <v>71</v>
      </c>
      <c r="L160" s="7" t="s">
        <v>74</v>
      </c>
      <c r="M160" s="11">
        <f t="shared" si="14"/>
        <v>1700</v>
      </c>
      <c r="N160" t="str">
        <f t="shared" si="15"/>
        <v>Apr</v>
      </c>
      <c r="O160">
        <f t="shared" si="16"/>
        <v>2</v>
      </c>
      <c r="P160">
        <f>VLOOKUP(F160,Products!A:C,3,FALSE)</f>
        <v>53</v>
      </c>
      <c r="Q160" s="12">
        <f t="shared" si="17"/>
        <v>640</v>
      </c>
    </row>
    <row r="161" ht="15">
      <c r="A161" s="7" t="s">
        <v>253</v>
      </c>
      <c r="B161" s="8">
        <v>45759</v>
      </c>
      <c r="C161" s="7" t="s">
        <v>40</v>
      </c>
      <c r="D161" s="7" t="s">
        <v>98</v>
      </c>
      <c r="E161" s="7" t="s">
        <v>29</v>
      </c>
      <c r="F161" s="7" t="s">
        <v>21</v>
      </c>
      <c r="G161" s="7">
        <v>2</v>
      </c>
      <c r="H161" s="9">
        <v>3600</v>
      </c>
      <c r="I161" s="10">
        <v>0.14999999999999999</v>
      </c>
      <c r="J161" s="7" t="s">
        <v>89</v>
      </c>
      <c r="K161" s="7" t="s">
        <v>65</v>
      </c>
      <c r="L161" s="7" t="s">
        <v>90</v>
      </c>
      <c r="M161" s="11">
        <f t="shared" si="14"/>
        <v>6120</v>
      </c>
      <c r="N161" t="str">
        <f t="shared" si="15"/>
        <v>Apr</v>
      </c>
      <c r="O161">
        <f t="shared" si="16"/>
        <v>2</v>
      </c>
      <c r="P161">
        <f>VLOOKUP(F161,Products!A:C,3,FALSE)</f>
        <v>2232</v>
      </c>
      <c r="Q161" s="12">
        <f t="shared" si="17"/>
        <v>1656</v>
      </c>
    </row>
    <row r="162" ht="15">
      <c r="A162" s="7" t="s">
        <v>254</v>
      </c>
      <c r="B162" s="8">
        <v>45759</v>
      </c>
      <c r="C162" s="7" t="s">
        <v>28</v>
      </c>
      <c r="D162" s="7" t="s">
        <v>112</v>
      </c>
      <c r="E162" s="7" t="s">
        <v>24</v>
      </c>
      <c r="F162" s="7" t="s">
        <v>38</v>
      </c>
      <c r="G162" s="7">
        <v>3</v>
      </c>
      <c r="H162" s="9">
        <v>12500</v>
      </c>
      <c r="I162" s="10">
        <v>0.14999999999999999</v>
      </c>
      <c r="J162" s="7" t="s">
        <v>70</v>
      </c>
      <c r="K162" s="7" t="s">
        <v>65</v>
      </c>
      <c r="L162" s="7" t="s">
        <v>66</v>
      </c>
      <c r="M162" s="11">
        <f t="shared" si="14"/>
        <v>31875</v>
      </c>
      <c r="N162" t="str">
        <f t="shared" si="15"/>
        <v>Apr</v>
      </c>
      <c r="O162">
        <f t="shared" si="16"/>
        <v>2</v>
      </c>
      <c r="P162">
        <f>VLOOKUP(F162,Products!A:C,3,FALSE)</f>
        <v>7750</v>
      </c>
      <c r="Q162" s="12">
        <f t="shared" si="17"/>
        <v>8625</v>
      </c>
    </row>
    <row r="163" ht="15">
      <c r="A163" s="7" t="s">
        <v>255</v>
      </c>
      <c r="B163" s="8">
        <v>45759</v>
      </c>
      <c r="C163" s="7" t="s">
        <v>40</v>
      </c>
      <c r="D163" s="7" t="s">
        <v>80</v>
      </c>
      <c r="E163" s="7" t="s">
        <v>29</v>
      </c>
      <c r="F163" s="7" t="s">
        <v>21</v>
      </c>
      <c r="G163" s="7">
        <v>4</v>
      </c>
      <c r="H163" s="9">
        <v>3600</v>
      </c>
      <c r="I163" s="10">
        <v>0</v>
      </c>
      <c r="J163" s="7" t="s">
        <v>64</v>
      </c>
      <c r="K163" s="7" t="s">
        <v>65</v>
      </c>
      <c r="L163" s="7" t="s">
        <v>74</v>
      </c>
      <c r="M163" s="11">
        <f t="shared" si="14"/>
        <v>14400</v>
      </c>
      <c r="N163" t="str">
        <f t="shared" si="15"/>
        <v>Apr</v>
      </c>
      <c r="O163">
        <f t="shared" si="16"/>
        <v>2</v>
      </c>
      <c r="P163">
        <f>VLOOKUP(F163,Products!A:C,3,FALSE)</f>
        <v>2232</v>
      </c>
      <c r="Q163" s="12">
        <f t="shared" si="17"/>
        <v>5472</v>
      </c>
    </row>
    <row r="164" ht="15">
      <c r="A164" s="7" t="s">
        <v>256</v>
      </c>
      <c r="B164" s="8">
        <v>45760</v>
      </c>
      <c r="C164" s="7" t="s">
        <v>33</v>
      </c>
      <c r="D164" s="7" t="s">
        <v>102</v>
      </c>
      <c r="E164" s="7" t="s">
        <v>19</v>
      </c>
      <c r="F164" s="7" t="s">
        <v>106</v>
      </c>
      <c r="G164" s="7">
        <v>4</v>
      </c>
      <c r="H164" s="9">
        <v>180</v>
      </c>
      <c r="I164" s="10">
        <v>5.0000000000000003e-002</v>
      </c>
      <c r="J164" s="7" t="s">
        <v>83</v>
      </c>
      <c r="K164" s="7" t="s">
        <v>65</v>
      </c>
      <c r="L164" s="7" t="s">
        <v>90</v>
      </c>
      <c r="M164" s="11">
        <f t="shared" ref="M164:M227" si="18">G164*H164*(1-I164)</f>
        <v>684</v>
      </c>
      <c r="N164" t="str">
        <f t="shared" ref="N164:N227" si="19">TEXT(B164,"mmm")</f>
        <v>Apr</v>
      </c>
      <c r="O164">
        <f t="shared" ref="O164:O227" si="20">ROUNDUP(MONTH(B164)/3,0)</f>
        <v>2</v>
      </c>
      <c r="P164">
        <f>VLOOKUP(F164,Products!A:C,3,FALSE)</f>
        <v>112</v>
      </c>
      <c r="Q164" s="12">
        <f t="shared" ref="Q164:Q227" si="21">M164-(G164*P164)</f>
        <v>236</v>
      </c>
    </row>
    <row r="165" ht="15">
      <c r="A165" s="7" t="s">
        <v>257</v>
      </c>
      <c r="B165" s="8">
        <v>45762</v>
      </c>
      <c r="C165" s="7" t="s">
        <v>40</v>
      </c>
      <c r="D165" s="7" t="s">
        <v>85</v>
      </c>
      <c r="E165" s="7" t="s">
        <v>24</v>
      </c>
      <c r="F165" s="7" t="s">
        <v>96</v>
      </c>
      <c r="G165" s="7">
        <v>1</v>
      </c>
      <c r="H165" s="9">
        <v>1450</v>
      </c>
      <c r="I165" s="10">
        <v>5.0000000000000003e-002</v>
      </c>
      <c r="J165" s="7" t="s">
        <v>93</v>
      </c>
      <c r="K165" s="7" t="s">
        <v>65</v>
      </c>
      <c r="L165" s="7" t="s">
        <v>74</v>
      </c>
      <c r="M165" s="11">
        <f t="shared" si="18"/>
        <v>1377.5</v>
      </c>
      <c r="N165" t="str">
        <f t="shared" si="19"/>
        <v>Apr</v>
      </c>
      <c r="O165">
        <f t="shared" si="20"/>
        <v>2</v>
      </c>
      <c r="P165">
        <f>VLOOKUP(F165,Products!A:C,3,FALSE)</f>
        <v>899</v>
      </c>
      <c r="Q165" s="12">
        <f t="shared" si="21"/>
        <v>478.5</v>
      </c>
    </row>
    <row r="166" ht="15">
      <c r="A166" s="7" t="s">
        <v>258</v>
      </c>
      <c r="B166" s="8">
        <v>45764</v>
      </c>
      <c r="C166" s="7" t="s">
        <v>40</v>
      </c>
      <c r="D166" s="7" t="s">
        <v>80</v>
      </c>
      <c r="E166" s="7" t="s">
        <v>24</v>
      </c>
      <c r="F166" s="7" t="s">
        <v>38</v>
      </c>
      <c r="G166" s="7">
        <v>1</v>
      </c>
      <c r="H166" s="9">
        <v>12500</v>
      </c>
      <c r="I166" s="10">
        <v>0</v>
      </c>
      <c r="J166" s="7" t="s">
        <v>64</v>
      </c>
      <c r="K166" s="7" t="s">
        <v>71</v>
      </c>
      <c r="L166" s="7" t="s">
        <v>74</v>
      </c>
      <c r="M166" s="11">
        <f t="shared" si="18"/>
        <v>12500</v>
      </c>
      <c r="N166" t="str">
        <f t="shared" si="19"/>
        <v>Apr</v>
      </c>
      <c r="O166">
        <f t="shared" si="20"/>
        <v>2</v>
      </c>
      <c r="P166">
        <f>VLOOKUP(F166,Products!A:C,3,FALSE)</f>
        <v>7750</v>
      </c>
      <c r="Q166" s="12">
        <f t="shared" si="21"/>
        <v>4750</v>
      </c>
    </row>
    <row r="167" ht="15">
      <c r="A167" s="7" t="s">
        <v>259</v>
      </c>
      <c r="B167" s="8">
        <v>45765</v>
      </c>
      <c r="C167" s="7" t="s">
        <v>40</v>
      </c>
      <c r="D167" s="7" t="s">
        <v>85</v>
      </c>
      <c r="E167" s="7" t="s">
        <v>29</v>
      </c>
      <c r="F167" s="7" t="s">
        <v>81</v>
      </c>
      <c r="G167" s="7">
        <v>3</v>
      </c>
      <c r="H167" s="9">
        <v>1900</v>
      </c>
      <c r="I167" s="10">
        <v>0</v>
      </c>
      <c r="J167" s="7" t="s">
        <v>64</v>
      </c>
      <c r="K167" s="7" t="s">
        <v>71</v>
      </c>
      <c r="L167" s="7" t="s">
        <v>78</v>
      </c>
      <c r="M167" s="11">
        <f t="shared" si="18"/>
        <v>5700</v>
      </c>
      <c r="N167" t="str">
        <f t="shared" si="19"/>
        <v>Apr</v>
      </c>
      <c r="O167">
        <f t="shared" si="20"/>
        <v>2</v>
      </c>
      <c r="P167">
        <f>VLOOKUP(F167,Products!A:C,3,FALSE)</f>
        <v>1178</v>
      </c>
      <c r="Q167" s="12">
        <f t="shared" si="21"/>
        <v>2166</v>
      </c>
    </row>
    <row r="168" ht="15">
      <c r="A168" s="7" t="s">
        <v>260</v>
      </c>
      <c r="B168" s="8">
        <v>45765</v>
      </c>
      <c r="C168" s="7" t="s">
        <v>28</v>
      </c>
      <c r="D168" s="7" t="s">
        <v>112</v>
      </c>
      <c r="E168" s="7" t="s">
        <v>19</v>
      </c>
      <c r="F168" s="7" t="s">
        <v>73</v>
      </c>
      <c r="G168" s="7">
        <v>2</v>
      </c>
      <c r="H168" s="9">
        <v>650</v>
      </c>
      <c r="I168" s="10">
        <v>0.14999999999999999</v>
      </c>
      <c r="J168" s="7" t="s">
        <v>83</v>
      </c>
      <c r="K168" s="7" t="s">
        <v>71</v>
      </c>
      <c r="L168" s="7" t="s">
        <v>90</v>
      </c>
      <c r="M168" s="11">
        <f t="shared" si="18"/>
        <v>1105</v>
      </c>
      <c r="N168" t="str">
        <f t="shared" si="19"/>
        <v>Apr</v>
      </c>
      <c r="O168">
        <f t="shared" si="20"/>
        <v>2</v>
      </c>
      <c r="P168">
        <f>VLOOKUP(F168,Products!A:C,3,FALSE)</f>
        <v>403</v>
      </c>
      <c r="Q168" s="12">
        <f t="shared" si="21"/>
        <v>299</v>
      </c>
    </row>
    <row r="169" ht="15">
      <c r="A169" s="7" t="s">
        <v>261</v>
      </c>
      <c r="B169" s="8">
        <v>45765</v>
      </c>
      <c r="C169" s="7" t="s">
        <v>33</v>
      </c>
      <c r="D169" s="7" t="s">
        <v>68</v>
      </c>
      <c r="E169" s="7" t="s">
        <v>24</v>
      </c>
      <c r="F169" s="7" t="s">
        <v>96</v>
      </c>
      <c r="G169" s="7">
        <v>4</v>
      </c>
      <c r="H169" s="9">
        <v>1450</v>
      </c>
      <c r="I169" s="10">
        <v>5.0000000000000003e-002</v>
      </c>
      <c r="J169" s="7" t="s">
        <v>83</v>
      </c>
      <c r="K169" s="7" t="s">
        <v>65</v>
      </c>
      <c r="L169" s="7" t="s">
        <v>66</v>
      </c>
      <c r="M169" s="11">
        <f t="shared" si="18"/>
        <v>5510</v>
      </c>
      <c r="N169" t="str">
        <f t="shared" si="19"/>
        <v>Apr</v>
      </c>
      <c r="O169">
        <f t="shared" si="20"/>
        <v>2</v>
      </c>
      <c r="P169">
        <f>VLOOKUP(F169,Products!A:C,3,FALSE)</f>
        <v>899</v>
      </c>
      <c r="Q169" s="12">
        <f t="shared" si="21"/>
        <v>1914</v>
      </c>
    </row>
    <row r="170" ht="15">
      <c r="A170" s="7" t="s">
        <v>262</v>
      </c>
      <c r="B170" s="8">
        <v>45766</v>
      </c>
      <c r="C170" s="7" t="s">
        <v>40</v>
      </c>
      <c r="D170" s="7" t="s">
        <v>85</v>
      </c>
      <c r="E170" s="7" t="s">
        <v>24</v>
      </c>
      <c r="F170" s="7" t="s">
        <v>26</v>
      </c>
      <c r="G170" s="7">
        <v>4</v>
      </c>
      <c r="H170" s="9">
        <v>3100</v>
      </c>
      <c r="I170" s="10">
        <v>0</v>
      </c>
      <c r="J170" s="7" t="s">
        <v>89</v>
      </c>
      <c r="K170" s="7" t="s">
        <v>65</v>
      </c>
      <c r="L170" s="7" t="s">
        <v>66</v>
      </c>
      <c r="M170" s="11">
        <f t="shared" si="18"/>
        <v>12400</v>
      </c>
      <c r="N170" t="str">
        <f t="shared" si="19"/>
        <v>Apr</v>
      </c>
      <c r="O170">
        <f t="shared" si="20"/>
        <v>2</v>
      </c>
      <c r="P170">
        <f>VLOOKUP(F170,Products!A:C,3,FALSE)</f>
        <v>1922</v>
      </c>
      <c r="Q170" s="12">
        <f t="shared" si="21"/>
        <v>4712</v>
      </c>
    </row>
    <row r="171" ht="15">
      <c r="A171" s="7" t="s">
        <v>263</v>
      </c>
      <c r="B171" s="8">
        <v>45766</v>
      </c>
      <c r="C171" s="7" t="s">
        <v>40</v>
      </c>
      <c r="D171" s="7" t="s">
        <v>85</v>
      </c>
      <c r="E171" s="7" t="s">
        <v>24</v>
      </c>
      <c r="F171" s="7" t="s">
        <v>96</v>
      </c>
      <c r="G171" s="7">
        <v>1</v>
      </c>
      <c r="H171" s="9">
        <v>1450</v>
      </c>
      <c r="I171" s="10">
        <v>0.10000000000000001</v>
      </c>
      <c r="J171" s="7" t="s">
        <v>64</v>
      </c>
      <c r="K171" s="7" t="s">
        <v>71</v>
      </c>
      <c r="L171" s="7" t="s">
        <v>78</v>
      </c>
      <c r="M171" s="11">
        <f t="shared" si="18"/>
        <v>1305</v>
      </c>
      <c r="N171" t="str">
        <f t="shared" si="19"/>
        <v>Apr</v>
      </c>
      <c r="O171">
        <f t="shared" si="20"/>
        <v>2</v>
      </c>
      <c r="P171">
        <f>VLOOKUP(F171,Products!A:C,3,FALSE)</f>
        <v>899</v>
      </c>
      <c r="Q171" s="12">
        <f t="shared" si="21"/>
        <v>406</v>
      </c>
    </row>
    <row r="172" ht="15">
      <c r="A172" s="7" t="s">
        <v>264</v>
      </c>
      <c r="B172" s="8">
        <v>45767</v>
      </c>
      <c r="C172" s="7" t="s">
        <v>33</v>
      </c>
      <c r="D172" s="7" t="s">
        <v>68</v>
      </c>
      <c r="E172" s="7" t="s">
        <v>24</v>
      </c>
      <c r="F172" s="7" t="s">
        <v>26</v>
      </c>
      <c r="G172" s="7">
        <v>3</v>
      </c>
      <c r="H172" s="9">
        <v>3100</v>
      </c>
      <c r="I172" s="10">
        <v>0</v>
      </c>
      <c r="J172" s="7" t="s">
        <v>64</v>
      </c>
      <c r="K172" s="7" t="s">
        <v>65</v>
      </c>
      <c r="L172" s="7" t="s">
        <v>90</v>
      </c>
      <c r="M172" s="11">
        <f t="shared" si="18"/>
        <v>9300</v>
      </c>
      <c r="N172" t="str">
        <f t="shared" si="19"/>
        <v>Apr</v>
      </c>
      <c r="O172">
        <f t="shared" si="20"/>
        <v>2</v>
      </c>
      <c r="P172">
        <f>VLOOKUP(F172,Products!A:C,3,FALSE)</f>
        <v>1922</v>
      </c>
      <c r="Q172" s="12">
        <f t="shared" si="21"/>
        <v>3534</v>
      </c>
    </row>
    <row r="173" ht="15">
      <c r="A173" s="7" t="s">
        <v>265</v>
      </c>
      <c r="B173" s="8">
        <v>45768</v>
      </c>
      <c r="C173" s="7" t="s">
        <v>23</v>
      </c>
      <c r="D173" s="7" t="s">
        <v>105</v>
      </c>
      <c r="E173" s="7" t="s">
        <v>34</v>
      </c>
      <c r="F173" s="7" t="s">
        <v>92</v>
      </c>
      <c r="G173" s="7">
        <v>40</v>
      </c>
      <c r="H173" s="9">
        <v>85</v>
      </c>
      <c r="I173" s="10">
        <v>0.14999999999999999</v>
      </c>
      <c r="J173" s="7" t="s">
        <v>89</v>
      </c>
      <c r="K173" s="7" t="s">
        <v>65</v>
      </c>
      <c r="L173" s="7" t="s">
        <v>90</v>
      </c>
      <c r="M173" s="11">
        <f t="shared" si="18"/>
        <v>2890</v>
      </c>
      <c r="N173" t="str">
        <f t="shared" si="19"/>
        <v>Apr</v>
      </c>
      <c r="O173">
        <f t="shared" si="20"/>
        <v>2</v>
      </c>
      <c r="P173">
        <f>VLOOKUP(F173,Products!A:C,3,FALSE)</f>
        <v>53</v>
      </c>
      <c r="Q173" s="12">
        <f t="shared" si="21"/>
        <v>770</v>
      </c>
    </row>
    <row r="174" ht="15">
      <c r="A174" s="7" t="s">
        <v>266</v>
      </c>
      <c r="B174" s="8">
        <v>45769</v>
      </c>
      <c r="C174" s="7" t="s">
        <v>36</v>
      </c>
      <c r="D174" s="7" t="s">
        <v>76</v>
      </c>
      <c r="E174" s="7" t="s">
        <v>19</v>
      </c>
      <c r="F174" s="7" t="s">
        <v>73</v>
      </c>
      <c r="G174" s="7">
        <v>4</v>
      </c>
      <c r="H174" s="9">
        <v>650</v>
      </c>
      <c r="I174" s="10">
        <v>0</v>
      </c>
      <c r="J174" s="7" t="s">
        <v>89</v>
      </c>
      <c r="K174" s="7" t="s">
        <v>71</v>
      </c>
      <c r="L174" s="7" t="s">
        <v>74</v>
      </c>
      <c r="M174" s="11">
        <f t="shared" si="18"/>
        <v>2600</v>
      </c>
      <c r="N174" t="str">
        <f t="shared" si="19"/>
        <v>Apr</v>
      </c>
      <c r="O174">
        <f t="shared" si="20"/>
        <v>2</v>
      </c>
      <c r="P174">
        <f>VLOOKUP(F174,Products!A:C,3,FALSE)</f>
        <v>403</v>
      </c>
      <c r="Q174" s="12">
        <f t="shared" si="21"/>
        <v>988</v>
      </c>
    </row>
    <row r="175" ht="15">
      <c r="A175" s="7" t="s">
        <v>267</v>
      </c>
      <c r="B175" s="8">
        <v>45770</v>
      </c>
      <c r="C175" s="7" t="s">
        <v>36</v>
      </c>
      <c r="D175" s="7" t="s">
        <v>76</v>
      </c>
      <c r="E175" s="7" t="s">
        <v>24</v>
      </c>
      <c r="F175" s="7" t="s">
        <v>31</v>
      </c>
      <c r="G175" s="7">
        <v>2</v>
      </c>
      <c r="H175" s="9">
        <v>5400</v>
      </c>
      <c r="I175" s="10">
        <v>0.10000000000000001</v>
      </c>
      <c r="J175" s="7" t="s">
        <v>89</v>
      </c>
      <c r="K175" s="7" t="s">
        <v>71</v>
      </c>
      <c r="L175" s="7" t="s">
        <v>78</v>
      </c>
      <c r="M175" s="11">
        <f t="shared" si="18"/>
        <v>9720</v>
      </c>
      <c r="N175" t="str">
        <f t="shared" si="19"/>
        <v>Apr</v>
      </c>
      <c r="O175">
        <f t="shared" si="20"/>
        <v>2</v>
      </c>
      <c r="P175">
        <f>VLOOKUP(F175,Products!A:C,3,FALSE)</f>
        <v>3348</v>
      </c>
      <c r="Q175" s="12">
        <f t="shared" si="21"/>
        <v>3024</v>
      </c>
    </row>
    <row r="176" ht="15">
      <c r="A176" s="7" t="s">
        <v>268</v>
      </c>
      <c r="B176" s="8">
        <v>45770</v>
      </c>
      <c r="C176" s="7" t="s">
        <v>23</v>
      </c>
      <c r="D176" s="7" t="s">
        <v>95</v>
      </c>
      <c r="E176" s="7" t="s">
        <v>19</v>
      </c>
      <c r="F176" s="7" t="s">
        <v>77</v>
      </c>
      <c r="G176" s="7">
        <v>1</v>
      </c>
      <c r="H176" s="9">
        <v>520</v>
      </c>
      <c r="I176" s="10">
        <v>5.0000000000000003e-002</v>
      </c>
      <c r="J176" s="7" t="s">
        <v>64</v>
      </c>
      <c r="K176" s="7" t="s">
        <v>71</v>
      </c>
      <c r="L176" s="7" t="s">
        <v>74</v>
      </c>
      <c r="M176" s="11">
        <f t="shared" si="18"/>
        <v>494</v>
      </c>
      <c r="N176" t="str">
        <f t="shared" si="19"/>
        <v>Apr</v>
      </c>
      <c r="O176">
        <f t="shared" si="20"/>
        <v>2</v>
      </c>
      <c r="P176">
        <f>VLOOKUP(F176,Products!A:C,3,FALSE)</f>
        <v>322</v>
      </c>
      <c r="Q176" s="12">
        <f t="shared" si="21"/>
        <v>172</v>
      </c>
    </row>
    <row r="177" ht="15">
      <c r="A177" s="7" t="s">
        <v>269</v>
      </c>
      <c r="B177" s="8">
        <v>45770</v>
      </c>
      <c r="C177" s="7" t="s">
        <v>36</v>
      </c>
      <c r="D177" s="7" t="s">
        <v>114</v>
      </c>
      <c r="E177" s="7" t="s">
        <v>24</v>
      </c>
      <c r="F177" s="7" t="s">
        <v>35</v>
      </c>
      <c r="G177" s="7">
        <v>2</v>
      </c>
      <c r="H177" s="9">
        <v>8200</v>
      </c>
      <c r="I177" s="10">
        <v>0.10000000000000001</v>
      </c>
      <c r="J177" s="7" t="s">
        <v>70</v>
      </c>
      <c r="K177" s="7" t="s">
        <v>65</v>
      </c>
      <c r="L177" s="7" t="s">
        <v>90</v>
      </c>
      <c r="M177" s="11">
        <f t="shared" si="18"/>
        <v>14760</v>
      </c>
      <c r="N177" t="str">
        <f t="shared" si="19"/>
        <v>Apr</v>
      </c>
      <c r="O177">
        <f t="shared" si="20"/>
        <v>2</v>
      </c>
      <c r="P177">
        <f>VLOOKUP(F177,Products!A:C,3,FALSE)</f>
        <v>5084</v>
      </c>
      <c r="Q177" s="12">
        <f t="shared" si="21"/>
        <v>4592</v>
      </c>
    </row>
    <row r="178" ht="15">
      <c r="A178" s="7" t="s">
        <v>270</v>
      </c>
      <c r="B178" s="8">
        <v>45770</v>
      </c>
      <c r="C178" s="7" t="s">
        <v>33</v>
      </c>
      <c r="D178" s="7" t="s">
        <v>102</v>
      </c>
      <c r="E178" s="7" t="s">
        <v>34</v>
      </c>
      <c r="F178" s="7" t="s">
        <v>86</v>
      </c>
      <c r="G178" s="7">
        <v>39</v>
      </c>
      <c r="H178" s="9">
        <v>210</v>
      </c>
      <c r="I178" s="10">
        <v>0.10000000000000001</v>
      </c>
      <c r="J178" s="7" t="s">
        <v>70</v>
      </c>
      <c r="K178" s="7" t="s">
        <v>65</v>
      </c>
      <c r="L178" s="7" t="s">
        <v>66</v>
      </c>
      <c r="M178" s="11">
        <f t="shared" si="18"/>
        <v>7371</v>
      </c>
      <c r="N178" t="str">
        <f t="shared" si="19"/>
        <v>Apr</v>
      </c>
      <c r="O178">
        <f t="shared" si="20"/>
        <v>2</v>
      </c>
      <c r="P178">
        <f>VLOOKUP(F178,Products!A:C,3,FALSE)</f>
        <v>130</v>
      </c>
      <c r="Q178" s="12">
        <f t="shared" si="21"/>
        <v>2301</v>
      </c>
    </row>
    <row r="179" ht="15">
      <c r="A179" s="7" t="s">
        <v>271</v>
      </c>
      <c r="B179" s="8">
        <v>45771</v>
      </c>
      <c r="C179" s="7" t="s">
        <v>28</v>
      </c>
      <c r="D179" s="7" t="s">
        <v>112</v>
      </c>
      <c r="E179" s="7" t="s">
        <v>34</v>
      </c>
      <c r="F179" s="7" t="s">
        <v>69</v>
      </c>
      <c r="G179" s="7">
        <v>37</v>
      </c>
      <c r="H179" s="9">
        <v>120</v>
      </c>
      <c r="I179" s="10">
        <v>0.14999999999999999</v>
      </c>
      <c r="J179" s="7" t="s">
        <v>89</v>
      </c>
      <c r="K179" s="7" t="s">
        <v>65</v>
      </c>
      <c r="L179" s="7" t="s">
        <v>74</v>
      </c>
      <c r="M179" s="11">
        <f t="shared" si="18"/>
        <v>3774</v>
      </c>
      <c r="N179" t="str">
        <f t="shared" si="19"/>
        <v>Apr</v>
      </c>
      <c r="O179">
        <f t="shared" si="20"/>
        <v>2</v>
      </c>
      <c r="P179">
        <f>VLOOKUP(F179,Products!A:C,3,FALSE)</f>
        <v>74</v>
      </c>
      <c r="Q179" s="12">
        <f t="shared" si="21"/>
        <v>1036</v>
      </c>
    </row>
    <row r="180" ht="15">
      <c r="A180" s="7" t="s">
        <v>272</v>
      </c>
      <c r="B180" s="8">
        <v>45771</v>
      </c>
      <c r="C180" s="7" t="s">
        <v>18</v>
      </c>
      <c r="D180" s="7" t="s">
        <v>63</v>
      </c>
      <c r="E180" s="7" t="s">
        <v>24</v>
      </c>
      <c r="F180" s="7" t="s">
        <v>35</v>
      </c>
      <c r="G180" s="7">
        <v>2</v>
      </c>
      <c r="H180" s="9">
        <v>8200</v>
      </c>
      <c r="I180" s="10">
        <v>0</v>
      </c>
      <c r="J180" s="7" t="s">
        <v>83</v>
      </c>
      <c r="K180" s="7" t="s">
        <v>65</v>
      </c>
      <c r="L180" s="7" t="s">
        <v>66</v>
      </c>
      <c r="M180" s="11">
        <f t="shared" si="18"/>
        <v>16400</v>
      </c>
      <c r="N180" t="str">
        <f t="shared" si="19"/>
        <v>Apr</v>
      </c>
      <c r="O180">
        <f t="shared" si="20"/>
        <v>2</v>
      </c>
      <c r="P180">
        <f>VLOOKUP(F180,Products!A:C,3,FALSE)</f>
        <v>5084</v>
      </c>
      <c r="Q180" s="12">
        <f t="shared" si="21"/>
        <v>6232</v>
      </c>
    </row>
    <row r="181" ht="15">
      <c r="A181" s="7" t="s">
        <v>273</v>
      </c>
      <c r="B181" s="8">
        <v>45773</v>
      </c>
      <c r="C181" s="7" t="s">
        <v>23</v>
      </c>
      <c r="D181" s="7" t="s">
        <v>95</v>
      </c>
      <c r="E181" s="7" t="s">
        <v>24</v>
      </c>
      <c r="F181" s="7" t="s">
        <v>26</v>
      </c>
      <c r="G181" s="7">
        <v>3</v>
      </c>
      <c r="H181" s="9">
        <v>3100</v>
      </c>
      <c r="I181" s="10">
        <v>5.0000000000000003e-002</v>
      </c>
      <c r="J181" s="7" t="s">
        <v>70</v>
      </c>
      <c r="K181" s="7" t="s">
        <v>65</v>
      </c>
      <c r="L181" s="7" t="s">
        <v>74</v>
      </c>
      <c r="M181" s="11">
        <f t="shared" si="18"/>
        <v>8835</v>
      </c>
      <c r="N181" t="str">
        <f t="shared" si="19"/>
        <v>Apr</v>
      </c>
      <c r="O181">
        <f t="shared" si="20"/>
        <v>2</v>
      </c>
      <c r="P181">
        <f>VLOOKUP(F181,Products!A:C,3,FALSE)</f>
        <v>1922</v>
      </c>
      <c r="Q181" s="12">
        <f t="shared" si="21"/>
        <v>3069</v>
      </c>
    </row>
    <row r="182" ht="15">
      <c r="A182" s="7" t="s">
        <v>274</v>
      </c>
      <c r="B182" s="8">
        <v>45773</v>
      </c>
      <c r="C182" s="7" t="s">
        <v>36</v>
      </c>
      <c r="D182" s="7" t="s">
        <v>114</v>
      </c>
      <c r="E182" s="7" t="s">
        <v>24</v>
      </c>
      <c r="F182" s="7" t="s">
        <v>26</v>
      </c>
      <c r="G182" s="7">
        <v>1</v>
      </c>
      <c r="H182" s="9">
        <v>3100</v>
      </c>
      <c r="I182" s="10">
        <v>0</v>
      </c>
      <c r="J182" s="7" t="s">
        <v>70</v>
      </c>
      <c r="K182" s="7" t="s">
        <v>65</v>
      </c>
      <c r="L182" s="7" t="s">
        <v>90</v>
      </c>
      <c r="M182" s="11">
        <f t="shared" si="18"/>
        <v>3100</v>
      </c>
      <c r="N182" t="str">
        <f t="shared" si="19"/>
        <v>Apr</v>
      </c>
      <c r="O182">
        <f t="shared" si="20"/>
        <v>2</v>
      </c>
      <c r="P182">
        <f>VLOOKUP(F182,Products!A:C,3,FALSE)</f>
        <v>1922</v>
      </c>
      <c r="Q182" s="12">
        <f t="shared" si="21"/>
        <v>1178</v>
      </c>
    </row>
    <row r="183" ht="15">
      <c r="A183" s="7" t="s">
        <v>275</v>
      </c>
      <c r="B183" s="8">
        <v>45773</v>
      </c>
      <c r="C183" s="7" t="s">
        <v>36</v>
      </c>
      <c r="D183" s="7" t="s">
        <v>114</v>
      </c>
      <c r="E183" s="7" t="s">
        <v>24</v>
      </c>
      <c r="F183" s="7" t="s">
        <v>38</v>
      </c>
      <c r="G183" s="7">
        <v>1</v>
      </c>
      <c r="H183" s="9">
        <v>12500</v>
      </c>
      <c r="I183" s="10">
        <v>5.0000000000000003e-002</v>
      </c>
      <c r="J183" s="7" t="s">
        <v>70</v>
      </c>
      <c r="K183" s="7" t="s">
        <v>65</v>
      </c>
      <c r="L183" s="7" t="s">
        <v>66</v>
      </c>
      <c r="M183" s="11">
        <f t="shared" si="18"/>
        <v>11875</v>
      </c>
      <c r="N183" t="str">
        <f t="shared" si="19"/>
        <v>Apr</v>
      </c>
      <c r="O183">
        <f t="shared" si="20"/>
        <v>2</v>
      </c>
      <c r="P183">
        <f>VLOOKUP(F183,Products!A:C,3,FALSE)</f>
        <v>7750</v>
      </c>
      <c r="Q183" s="12">
        <f t="shared" si="21"/>
        <v>4125</v>
      </c>
    </row>
    <row r="184" ht="15">
      <c r="A184" s="7" t="s">
        <v>276</v>
      </c>
      <c r="B184" s="8">
        <v>45774</v>
      </c>
      <c r="C184" s="7" t="s">
        <v>28</v>
      </c>
      <c r="D184" s="7" t="s">
        <v>112</v>
      </c>
      <c r="E184" s="7" t="s">
        <v>34</v>
      </c>
      <c r="F184" s="7" t="s">
        <v>92</v>
      </c>
      <c r="G184" s="7">
        <v>38</v>
      </c>
      <c r="H184" s="9">
        <v>85</v>
      </c>
      <c r="I184" s="10">
        <v>0</v>
      </c>
      <c r="J184" s="7" t="s">
        <v>64</v>
      </c>
      <c r="K184" s="7" t="s">
        <v>65</v>
      </c>
      <c r="L184" s="7" t="s">
        <v>90</v>
      </c>
      <c r="M184" s="11">
        <f t="shared" si="18"/>
        <v>3230</v>
      </c>
      <c r="N184" t="str">
        <f t="shared" si="19"/>
        <v>Apr</v>
      </c>
      <c r="O184">
        <f t="shared" si="20"/>
        <v>2</v>
      </c>
      <c r="P184">
        <f>VLOOKUP(F184,Products!A:C,3,FALSE)</f>
        <v>53</v>
      </c>
      <c r="Q184" s="12">
        <f t="shared" si="21"/>
        <v>1216</v>
      </c>
    </row>
    <row r="185" ht="15">
      <c r="A185" s="7" t="s">
        <v>277</v>
      </c>
      <c r="B185" s="8">
        <v>45774</v>
      </c>
      <c r="C185" s="7" t="s">
        <v>40</v>
      </c>
      <c r="D185" s="7" t="s">
        <v>98</v>
      </c>
      <c r="E185" s="7" t="s">
        <v>24</v>
      </c>
      <c r="F185" s="7" t="s">
        <v>26</v>
      </c>
      <c r="G185" s="7">
        <v>3</v>
      </c>
      <c r="H185" s="9">
        <v>3100</v>
      </c>
      <c r="I185" s="10">
        <v>0.10000000000000001</v>
      </c>
      <c r="J185" s="7" t="s">
        <v>83</v>
      </c>
      <c r="K185" s="7" t="s">
        <v>71</v>
      </c>
      <c r="L185" s="7" t="s">
        <v>74</v>
      </c>
      <c r="M185" s="11">
        <f t="shared" si="18"/>
        <v>8370</v>
      </c>
      <c r="N185" t="str">
        <f t="shared" si="19"/>
        <v>Apr</v>
      </c>
      <c r="O185">
        <f t="shared" si="20"/>
        <v>2</v>
      </c>
      <c r="P185">
        <f>VLOOKUP(F185,Products!A:C,3,FALSE)</f>
        <v>1922</v>
      </c>
      <c r="Q185" s="12">
        <f t="shared" si="21"/>
        <v>2604</v>
      </c>
    </row>
    <row r="186" ht="15">
      <c r="A186" s="7" t="s">
        <v>278</v>
      </c>
      <c r="B186" s="8">
        <v>45775</v>
      </c>
      <c r="C186" s="7" t="s">
        <v>40</v>
      </c>
      <c r="D186" s="7" t="s">
        <v>98</v>
      </c>
      <c r="E186" s="7" t="s">
        <v>19</v>
      </c>
      <c r="F186" s="7" t="s">
        <v>77</v>
      </c>
      <c r="G186" s="7">
        <v>2</v>
      </c>
      <c r="H186" s="9">
        <v>520</v>
      </c>
      <c r="I186" s="10">
        <v>0.14999999999999999</v>
      </c>
      <c r="J186" s="7" t="s">
        <v>70</v>
      </c>
      <c r="K186" s="7" t="s">
        <v>71</v>
      </c>
      <c r="L186" s="7" t="s">
        <v>66</v>
      </c>
      <c r="M186" s="11">
        <f t="shared" si="18"/>
        <v>884</v>
      </c>
      <c r="N186" t="str">
        <f t="shared" si="19"/>
        <v>Apr</v>
      </c>
      <c r="O186">
        <f t="shared" si="20"/>
        <v>2</v>
      </c>
      <c r="P186">
        <f>VLOOKUP(F186,Products!A:C,3,FALSE)</f>
        <v>322</v>
      </c>
      <c r="Q186" s="12">
        <f t="shared" si="21"/>
        <v>240</v>
      </c>
    </row>
    <row r="187" ht="15">
      <c r="A187" s="7" t="s">
        <v>279</v>
      </c>
      <c r="B187" s="8">
        <v>45776</v>
      </c>
      <c r="C187" s="7" t="s">
        <v>33</v>
      </c>
      <c r="D187" s="7" t="s">
        <v>68</v>
      </c>
      <c r="E187" s="7" t="s">
        <v>24</v>
      </c>
      <c r="F187" s="7" t="s">
        <v>31</v>
      </c>
      <c r="G187" s="7">
        <v>3</v>
      </c>
      <c r="H187" s="9">
        <v>5400</v>
      </c>
      <c r="I187" s="10">
        <v>5.0000000000000003e-002</v>
      </c>
      <c r="J187" s="7" t="s">
        <v>89</v>
      </c>
      <c r="K187" s="7" t="s">
        <v>65</v>
      </c>
      <c r="L187" s="7" t="s">
        <v>78</v>
      </c>
      <c r="M187" s="11">
        <f t="shared" si="18"/>
        <v>15390</v>
      </c>
      <c r="N187" t="str">
        <f t="shared" si="19"/>
        <v>Apr</v>
      </c>
      <c r="O187">
        <f t="shared" si="20"/>
        <v>2</v>
      </c>
      <c r="P187">
        <f>VLOOKUP(F187,Products!A:C,3,FALSE)</f>
        <v>3348</v>
      </c>
      <c r="Q187" s="12">
        <f t="shared" si="21"/>
        <v>5346</v>
      </c>
    </row>
    <row r="188" ht="15">
      <c r="A188" s="7" t="s">
        <v>280</v>
      </c>
      <c r="B188" s="8">
        <v>45776</v>
      </c>
      <c r="C188" s="7" t="s">
        <v>36</v>
      </c>
      <c r="D188" s="7" t="s">
        <v>76</v>
      </c>
      <c r="E188" s="7" t="s">
        <v>34</v>
      </c>
      <c r="F188" s="7" t="s">
        <v>69</v>
      </c>
      <c r="G188" s="7">
        <v>8</v>
      </c>
      <c r="H188" s="9">
        <v>120</v>
      </c>
      <c r="I188" s="10">
        <v>0</v>
      </c>
      <c r="J188" s="7" t="s">
        <v>70</v>
      </c>
      <c r="K188" s="7" t="s">
        <v>65</v>
      </c>
      <c r="L188" s="7" t="s">
        <v>78</v>
      </c>
      <c r="M188" s="11">
        <f t="shared" si="18"/>
        <v>960</v>
      </c>
      <c r="N188" t="str">
        <f t="shared" si="19"/>
        <v>Apr</v>
      </c>
      <c r="O188">
        <f t="shared" si="20"/>
        <v>2</v>
      </c>
      <c r="P188">
        <f>VLOOKUP(F188,Products!A:C,3,FALSE)</f>
        <v>74</v>
      </c>
      <c r="Q188" s="12">
        <f t="shared" si="21"/>
        <v>368</v>
      </c>
    </row>
    <row r="189" ht="15">
      <c r="A189" s="7" t="s">
        <v>281</v>
      </c>
      <c r="B189" s="8">
        <v>45777</v>
      </c>
      <c r="C189" s="7" t="s">
        <v>36</v>
      </c>
      <c r="D189" s="7" t="s">
        <v>76</v>
      </c>
      <c r="E189" s="7" t="s">
        <v>29</v>
      </c>
      <c r="F189" s="7" t="s">
        <v>120</v>
      </c>
      <c r="G189" s="7">
        <v>3</v>
      </c>
      <c r="H189" s="9">
        <v>2300</v>
      </c>
      <c r="I189" s="10">
        <v>0</v>
      </c>
      <c r="J189" s="7" t="s">
        <v>89</v>
      </c>
      <c r="K189" s="7" t="s">
        <v>65</v>
      </c>
      <c r="L189" s="7" t="s">
        <v>90</v>
      </c>
      <c r="M189" s="11">
        <f t="shared" si="18"/>
        <v>6900</v>
      </c>
      <c r="N189" t="str">
        <f t="shared" si="19"/>
        <v>Apr</v>
      </c>
      <c r="O189">
        <f t="shared" si="20"/>
        <v>2</v>
      </c>
      <c r="P189">
        <f>VLOOKUP(F189,Products!A:C,3,FALSE)</f>
        <v>1426</v>
      </c>
      <c r="Q189" s="12">
        <f t="shared" si="21"/>
        <v>2622</v>
      </c>
    </row>
    <row r="190" ht="15">
      <c r="A190" s="7" t="s">
        <v>282</v>
      </c>
      <c r="B190" s="8">
        <v>45777</v>
      </c>
      <c r="C190" s="7" t="s">
        <v>40</v>
      </c>
      <c r="D190" s="7" t="s">
        <v>80</v>
      </c>
      <c r="E190" s="7" t="s">
        <v>29</v>
      </c>
      <c r="F190" s="7" t="s">
        <v>81</v>
      </c>
      <c r="G190" s="7">
        <v>4</v>
      </c>
      <c r="H190" s="9">
        <v>1900</v>
      </c>
      <c r="I190" s="10">
        <v>5.0000000000000003e-002</v>
      </c>
      <c r="J190" s="7" t="s">
        <v>64</v>
      </c>
      <c r="K190" s="7" t="s">
        <v>71</v>
      </c>
      <c r="L190" s="7" t="s">
        <v>90</v>
      </c>
      <c r="M190" s="11">
        <f t="shared" si="18"/>
        <v>7220</v>
      </c>
      <c r="N190" t="str">
        <f t="shared" si="19"/>
        <v>Apr</v>
      </c>
      <c r="O190">
        <f t="shared" si="20"/>
        <v>2</v>
      </c>
      <c r="P190">
        <f>VLOOKUP(F190,Products!A:C,3,FALSE)</f>
        <v>1178</v>
      </c>
      <c r="Q190" s="12">
        <f t="shared" si="21"/>
        <v>2508</v>
      </c>
    </row>
    <row r="191" ht="15">
      <c r="A191" s="7" t="s">
        <v>283</v>
      </c>
      <c r="B191" s="8">
        <v>45778</v>
      </c>
      <c r="C191" s="7" t="s">
        <v>23</v>
      </c>
      <c r="D191" s="7" t="s">
        <v>105</v>
      </c>
      <c r="E191" s="7" t="s">
        <v>24</v>
      </c>
      <c r="F191" s="7" t="s">
        <v>35</v>
      </c>
      <c r="G191" s="7">
        <v>2</v>
      </c>
      <c r="H191" s="9">
        <v>8200</v>
      </c>
      <c r="I191" s="10">
        <v>0.14999999999999999</v>
      </c>
      <c r="J191" s="7" t="s">
        <v>103</v>
      </c>
      <c r="K191" s="7" t="s">
        <v>65</v>
      </c>
      <c r="L191" s="7" t="s">
        <v>74</v>
      </c>
      <c r="M191" s="11">
        <f t="shared" si="18"/>
        <v>13940</v>
      </c>
      <c r="N191" t="str">
        <f t="shared" si="19"/>
        <v>May</v>
      </c>
      <c r="O191">
        <f t="shared" si="20"/>
        <v>2</v>
      </c>
      <c r="P191">
        <f>VLOOKUP(F191,Products!A:C,3,FALSE)</f>
        <v>5084</v>
      </c>
      <c r="Q191" s="12">
        <f t="shared" si="21"/>
        <v>3772</v>
      </c>
    </row>
    <row r="192" ht="15">
      <c r="A192" s="7" t="s">
        <v>284</v>
      </c>
      <c r="B192" s="8">
        <v>45778</v>
      </c>
      <c r="C192" s="7" t="s">
        <v>36</v>
      </c>
      <c r="D192" s="7" t="s">
        <v>114</v>
      </c>
      <c r="E192" s="7" t="s">
        <v>29</v>
      </c>
      <c r="F192" s="7" t="s">
        <v>21</v>
      </c>
      <c r="G192" s="7">
        <v>4</v>
      </c>
      <c r="H192" s="9">
        <v>3600</v>
      </c>
      <c r="I192" s="10">
        <v>0</v>
      </c>
      <c r="J192" s="7" t="s">
        <v>93</v>
      </c>
      <c r="K192" s="7" t="s">
        <v>65</v>
      </c>
      <c r="L192" s="7" t="s">
        <v>78</v>
      </c>
      <c r="M192" s="11">
        <f t="shared" si="18"/>
        <v>14400</v>
      </c>
      <c r="N192" t="str">
        <f t="shared" si="19"/>
        <v>May</v>
      </c>
      <c r="O192">
        <f t="shared" si="20"/>
        <v>2</v>
      </c>
      <c r="P192">
        <f>VLOOKUP(F192,Products!A:C,3,FALSE)</f>
        <v>2232</v>
      </c>
      <c r="Q192" s="12">
        <f t="shared" si="21"/>
        <v>5472</v>
      </c>
    </row>
    <row r="193" ht="15">
      <c r="A193" s="7" t="s">
        <v>285</v>
      </c>
      <c r="B193" s="8">
        <v>45778</v>
      </c>
      <c r="C193" s="7" t="s">
        <v>33</v>
      </c>
      <c r="D193" s="7" t="s">
        <v>68</v>
      </c>
      <c r="E193" s="7" t="s">
        <v>24</v>
      </c>
      <c r="F193" s="7" t="s">
        <v>26</v>
      </c>
      <c r="G193" s="7">
        <v>1</v>
      </c>
      <c r="H193" s="9">
        <v>3100</v>
      </c>
      <c r="I193" s="10">
        <v>0</v>
      </c>
      <c r="J193" s="7" t="s">
        <v>103</v>
      </c>
      <c r="K193" s="7" t="s">
        <v>65</v>
      </c>
      <c r="L193" s="7" t="s">
        <v>90</v>
      </c>
      <c r="M193" s="11">
        <f t="shared" si="18"/>
        <v>3100</v>
      </c>
      <c r="N193" t="str">
        <f t="shared" si="19"/>
        <v>May</v>
      </c>
      <c r="O193">
        <f t="shared" si="20"/>
        <v>2</v>
      </c>
      <c r="P193">
        <f>VLOOKUP(F193,Products!A:C,3,FALSE)</f>
        <v>1922</v>
      </c>
      <c r="Q193" s="12">
        <f t="shared" si="21"/>
        <v>1178</v>
      </c>
    </row>
    <row r="194" ht="15">
      <c r="A194" s="7" t="s">
        <v>286</v>
      </c>
      <c r="B194" s="8">
        <v>45778</v>
      </c>
      <c r="C194" s="7" t="s">
        <v>33</v>
      </c>
      <c r="D194" s="7" t="s">
        <v>68</v>
      </c>
      <c r="E194" s="7" t="s">
        <v>34</v>
      </c>
      <c r="F194" s="7" t="s">
        <v>69</v>
      </c>
      <c r="G194" s="7">
        <v>11</v>
      </c>
      <c r="H194" s="9">
        <v>120</v>
      </c>
      <c r="I194" s="10">
        <v>0</v>
      </c>
      <c r="J194" s="7" t="s">
        <v>103</v>
      </c>
      <c r="K194" s="7" t="s">
        <v>65</v>
      </c>
      <c r="L194" s="7" t="s">
        <v>78</v>
      </c>
      <c r="M194" s="11">
        <f t="shared" si="18"/>
        <v>1320</v>
      </c>
      <c r="N194" t="str">
        <f t="shared" si="19"/>
        <v>May</v>
      </c>
      <c r="O194">
        <f t="shared" si="20"/>
        <v>2</v>
      </c>
      <c r="P194">
        <f>VLOOKUP(F194,Products!A:C,3,FALSE)</f>
        <v>74</v>
      </c>
      <c r="Q194" s="12">
        <f t="shared" si="21"/>
        <v>506</v>
      </c>
    </row>
    <row r="195" ht="15">
      <c r="A195" s="7" t="s">
        <v>287</v>
      </c>
      <c r="B195" s="8">
        <v>45779</v>
      </c>
      <c r="C195" s="7" t="s">
        <v>33</v>
      </c>
      <c r="D195" s="7" t="s">
        <v>68</v>
      </c>
      <c r="E195" s="7" t="s">
        <v>34</v>
      </c>
      <c r="F195" s="7" t="s">
        <v>92</v>
      </c>
      <c r="G195" s="7">
        <v>29</v>
      </c>
      <c r="H195" s="9">
        <v>85</v>
      </c>
      <c r="I195" s="10">
        <v>0</v>
      </c>
      <c r="J195" s="7" t="s">
        <v>93</v>
      </c>
      <c r="K195" s="7" t="s">
        <v>65</v>
      </c>
      <c r="L195" s="7" t="s">
        <v>78</v>
      </c>
      <c r="M195" s="11">
        <f t="shared" si="18"/>
        <v>2465</v>
      </c>
      <c r="N195" t="str">
        <f t="shared" si="19"/>
        <v>May</v>
      </c>
      <c r="O195">
        <f t="shared" si="20"/>
        <v>2</v>
      </c>
      <c r="P195">
        <f>VLOOKUP(F195,Products!A:C,3,FALSE)</f>
        <v>53</v>
      </c>
      <c r="Q195" s="12">
        <f t="shared" si="21"/>
        <v>928</v>
      </c>
    </row>
    <row r="196" ht="15">
      <c r="A196" s="7" t="s">
        <v>288</v>
      </c>
      <c r="B196" s="8">
        <v>45779</v>
      </c>
      <c r="C196" s="7" t="s">
        <v>18</v>
      </c>
      <c r="D196" s="7" t="s">
        <v>63</v>
      </c>
      <c r="E196" s="7" t="s">
        <v>19</v>
      </c>
      <c r="F196" s="7" t="s">
        <v>73</v>
      </c>
      <c r="G196" s="7">
        <v>2</v>
      </c>
      <c r="H196" s="9">
        <v>650</v>
      </c>
      <c r="I196" s="10">
        <v>0.14999999999999999</v>
      </c>
      <c r="J196" s="7" t="s">
        <v>70</v>
      </c>
      <c r="K196" s="7" t="s">
        <v>65</v>
      </c>
      <c r="L196" s="7" t="s">
        <v>66</v>
      </c>
      <c r="M196" s="11">
        <f t="shared" si="18"/>
        <v>1105</v>
      </c>
      <c r="N196" t="str">
        <f t="shared" si="19"/>
        <v>May</v>
      </c>
      <c r="O196">
        <f t="shared" si="20"/>
        <v>2</v>
      </c>
      <c r="P196">
        <f>VLOOKUP(F196,Products!A:C,3,FALSE)</f>
        <v>403</v>
      </c>
      <c r="Q196" s="12">
        <f t="shared" si="21"/>
        <v>299</v>
      </c>
    </row>
    <row r="197" ht="15">
      <c r="A197" s="7" t="s">
        <v>289</v>
      </c>
      <c r="B197" s="8">
        <v>45780</v>
      </c>
      <c r="C197" s="7" t="s">
        <v>40</v>
      </c>
      <c r="D197" s="7" t="s">
        <v>98</v>
      </c>
      <c r="E197" s="7" t="s">
        <v>24</v>
      </c>
      <c r="F197" s="7" t="s">
        <v>26</v>
      </c>
      <c r="G197" s="7">
        <v>1</v>
      </c>
      <c r="H197" s="9">
        <v>3100</v>
      </c>
      <c r="I197" s="10">
        <v>0</v>
      </c>
      <c r="J197" s="7" t="s">
        <v>70</v>
      </c>
      <c r="K197" s="7" t="s">
        <v>65</v>
      </c>
      <c r="L197" s="7" t="s">
        <v>66</v>
      </c>
      <c r="M197" s="11">
        <f t="shared" si="18"/>
        <v>3100</v>
      </c>
      <c r="N197" t="str">
        <f t="shared" si="19"/>
        <v>May</v>
      </c>
      <c r="O197">
        <f t="shared" si="20"/>
        <v>2</v>
      </c>
      <c r="P197">
        <f>VLOOKUP(F197,Products!A:C,3,FALSE)</f>
        <v>1922</v>
      </c>
      <c r="Q197" s="12">
        <f t="shared" si="21"/>
        <v>1178</v>
      </c>
    </row>
    <row r="198" ht="15">
      <c r="A198" s="7" t="s">
        <v>290</v>
      </c>
      <c r="B198" s="8">
        <v>45780</v>
      </c>
      <c r="C198" s="7" t="s">
        <v>23</v>
      </c>
      <c r="D198" s="7" t="s">
        <v>105</v>
      </c>
      <c r="E198" s="7" t="s">
        <v>29</v>
      </c>
      <c r="F198" s="7" t="s">
        <v>81</v>
      </c>
      <c r="G198" s="7">
        <v>3</v>
      </c>
      <c r="H198" s="9">
        <v>1900</v>
      </c>
      <c r="I198" s="10">
        <v>0</v>
      </c>
      <c r="J198" s="7" t="s">
        <v>89</v>
      </c>
      <c r="K198" s="7" t="s">
        <v>65</v>
      </c>
      <c r="L198" s="7" t="s">
        <v>74</v>
      </c>
      <c r="M198" s="11">
        <f t="shared" si="18"/>
        <v>5700</v>
      </c>
      <c r="N198" t="str">
        <f t="shared" si="19"/>
        <v>May</v>
      </c>
      <c r="O198">
        <f t="shared" si="20"/>
        <v>2</v>
      </c>
      <c r="P198">
        <f>VLOOKUP(F198,Products!A:C,3,FALSE)</f>
        <v>1178</v>
      </c>
      <c r="Q198" s="12">
        <f t="shared" si="21"/>
        <v>2166</v>
      </c>
    </row>
    <row r="199" ht="15">
      <c r="A199" s="7" t="s">
        <v>291</v>
      </c>
      <c r="B199" s="8">
        <v>45780</v>
      </c>
      <c r="C199" s="7" t="s">
        <v>40</v>
      </c>
      <c r="D199" s="7" t="s">
        <v>85</v>
      </c>
      <c r="E199" s="7" t="s">
        <v>29</v>
      </c>
      <c r="F199" s="7" t="s">
        <v>81</v>
      </c>
      <c r="G199" s="7">
        <v>1</v>
      </c>
      <c r="H199" s="9">
        <v>1900</v>
      </c>
      <c r="I199" s="10">
        <v>5.0000000000000003e-002</v>
      </c>
      <c r="J199" s="7" t="s">
        <v>93</v>
      </c>
      <c r="K199" s="7" t="s">
        <v>71</v>
      </c>
      <c r="L199" s="7" t="s">
        <v>90</v>
      </c>
      <c r="M199" s="11">
        <f t="shared" si="18"/>
        <v>1805</v>
      </c>
      <c r="N199" t="str">
        <f t="shared" si="19"/>
        <v>May</v>
      </c>
      <c r="O199">
        <f t="shared" si="20"/>
        <v>2</v>
      </c>
      <c r="P199">
        <f>VLOOKUP(F199,Products!A:C,3,FALSE)</f>
        <v>1178</v>
      </c>
      <c r="Q199" s="12">
        <f t="shared" si="21"/>
        <v>627</v>
      </c>
    </row>
    <row r="200" ht="15">
      <c r="A200" s="7" t="s">
        <v>292</v>
      </c>
      <c r="B200" s="8">
        <v>45780</v>
      </c>
      <c r="C200" s="7" t="s">
        <v>18</v>
      </c>
      <c r="D200" s="7" t="s">
        <v>63</v>
      </c>
      <c r="E200" s="7" t="s">
        <v>19</v>
      </c>
      <c r="F200" s="7" t="s">
        <v>106</v>
      </c>
      <c r="G200" s="7">
        <v>3</v>
      </c>
      <c r="H200" s="9">
        <v>180</v>
      </c>
      <c r="I200" s="10">
        <v>5.0000000000000003e-002</v>
      </c>
      <c r="J200" s="7" t="s">
        <v>89</v>
      </c>
      <c r="K200" s="7" t="s">
        <v>71</v>
      </c>
      <c r="L200" s="7" t="s">
        <v>74</v>
      </c>
      <c r="M200" s="11">
        <f t="shared" si="18"/>
        <v>513</v>
      </c>
      <c r="N200" t="str">
        <f t="shared" si="19"/>
        <v>May</v>
      </c>
      <c r="O200">
        <f t="shared" si="20"/>
        <v>2</v>
      </c>
      <c r="P200">
        <f>VLOOKUP(F200,Products!A:C,3,FALSE)</f>
        <v>112</v>
      </c>
      <c r="Q200" s="12">
        <f t="shared" si="21"/>
        <v>177</v>
      </c>
    </row>
    <row r="201" ht="15">
      <c r="A201" s="7" t="s">
        <v>293</v>
      </c>
      <c r="B201" s="8">
        <v>45781</v>
      </c>
      <c r="C201" s="7" t="s">
        <v>40</v>
      </c>
      <c r="D201" s="7" t="s">
        <v>80</v>
      </c>
      <c r="E201" s="7" t="s">
        <v>24</v>
      </c>
      <c r="F201" s="7" t="s">
        <v>26</v>
      </c>
      <c r="G201" s="7">
        <v>2</v>
      </c>
      <c r="H201" s="9">
        <v>3100</v>
      </c>
      <c r="I201" s="10">
        <v>5.0000000000000003e-002</v>
      </c>
      <c r="J201" s="7" t="s">
        <v>93</v>
      </c>
      <c r="K201" s="7" t="s">
        <v>65</v>
      </c>
      <c r="L201" s="7" t="s">
        <v>90</v>
      </c>
      <c r="M201" s="11">
        <f t="shared" si="18"/>
        <v>5890</v>
      </c>
      <c r="N201" t="str">
        <f t="shared" si="19"/>
        <v>May</v>
      </c>
      <c r="O201">
        <f t="shared" si="20"/>
        <v>2</v>
      </c>
      <c r="P201">
        <f>VLOOKUP(F201,Products!A:C,3,FALSE)</f>
        <v>1922</v>
      </c>
      <c r="Q201" s="12">
        <f t="shared" si="21"/>
        <v>2046</v>
      </c>
    </row>
    <row r="202" ht="15">
      <c r="A202" s="7" t="s">
        <v>294</v>
      </c>
      <c r="B202" s="8">
        <v>45781</v>
      </c>
      <c r="C202" s="7" t="s">
        <v>40</v>
      </c>
      <c r="D202" s="7" t="s">
        <v>80</v>
      </c>
      <c r="E202" s="7" t="s">
        <v>29</v>
      </c>
      <c r="F202" s="7" t="s">
        <v>120</v>
      </c>
      <c r="G202" s="7">
        <v>4</v>
      </c>
      <c r="H202" s="9">
        <v>2300</v>
      </c>
      <c r="I202" s="10">
        <v>0.10000000000000001</v>
      </c>
      <c r="J202" s="7" t="s">
        <v>64</v>
      </c>
      <c r="K202" s="7" t="s">
        <v>65</v>
      </c>
      <c r="L202" s="7" t="s">
        <v>66</v>
      </c>
      <c r="M202" s="11">
        <f t="shared" si="18"/>
        <v>8280</v>
      </c>
      <c r="N202" t="str">
        <f t="shared" si="19"/>
        <v>May</v>
      </c>
      <c r="O202">
        <f t="shared" si="20"/>
        <v>2</v>
      </c>
      <c r="P202">
        <f>VLOOKUP(F202,Products!A:C,3,FALSE)</f>
        <v>1426</v>
      </c>
      <c r="Q202" s="12">
        <f t="shared" si="21"/>
        <v>2576</v>
      </c>
    </row>
    <row r="203" ht="15">
      <c r="A203" s="7" t="s">
        <v>295</v>
      </c>
      <c r="B203" s="8">
        <v>45781</v>
      </c>
      <c r="C203" s="7" t="s">
        <v>23</v>
      </c>
      <c r="D203" s="7" t="s">
        <v>105</v>
      </c>
      <c r="E203" s="7" t="s">
        <v>19</v>
      </c>
      <c r="F203" s="7" t="s">
        <v>77</v>
      </c>
      <c r="G203" s="7">
        <v>1</v>
      </c>
      <c r="H203" s="9">
        <v>520</v>
      </c>
      <c r="I203" s="10">
        <v>0.10000000000000001</v>
      </c>
      <c r="J203" s="7" t="s">
        <v>64</v>
      </c>
      <c r="K203" s="7" t="s">
        <v>65</v>
      </c>
      <c r="L203" s="7" t="s">
        <v>74</v>
      </c>
      <c r="M203" s="11">
        <f t="shared" si="18"/>
        <v>468</v>
      </c>
      <c r="N203" t="str">
        <f t="shared" si="19"/>
        <v>May</v>
      </c>
      <c r="O203">
        <f t="shared" si="20"/>
        <v>2</v>
      </c>
      <c r="P203">
        <f>VLOOKUP(F203,Products!A:C,3,FALSE)</f>
        <v>322</v>
      </c>
      <c r="Q203" s="12">
        <f t="shared" si="21"/>
        <v>146</v>
      </c>
    </row>
    <row r="204" ht="15">
      <c r="A204" s="7" t="s">
        <v>296</v>
      </c>
      <c r="B204" s="8">
        <v>45782</v>
      </c>
      <c r="C204" s="7" t="s">
        <v>36</v>
      </c>
      <c r="D204" s="7" t="s">
        <v>114</v>
      </c>
      <c r="E204" s="7" t="s">
        <v>34</v>
      </c>
      <c r="F204" s="7" t="s">
        <v>86</v>
      </c>
      <c r="G204" s="7">
        <v>34</v>
      </c>
      <c r="H204" s="9">
        <v>210</v>
      </c>
      <c r="I204" s="10">
        <v>0.14999999999999999</v>
      </c>
      <c r="J204" s="7" t="s">
        <v>64</v>
      </c>
      <c r="K204" s="7" t="s">
        <v>65</v>
      </c>
      <c r="L204" s="7" t="s">
        <v>66</v>
      </c>
      <c r="M204" s="11">
        <f t="shared" si="18"/>
        <v>6069</v>
      </c>
      <c r="N204" t="str">
        <f t="shared" si="19"/>
        <v>May</v>
      </c>
      <c r="O204">
        <f t="shared" si="20"/>
        <v>2</v>
      </c>
      <c r="P204">
        <f>VLOOKUP(F204,Products!A:C,3,FALSE)</f>
        <v>130</v>
      </c>
      <c r="Q204" s="12">
        <f t="shared" si="21"/>
        <v>1649</v>
      </c>
    </row>
    <row r="205" ht="15">
      <c r="A205" s="7" t="s">
        <v>297</v>
      </c>
      <c r="B205" s="8">
        <v>45782</v>
      </c>
      <c r="C205" s="7" t="s">
        <v>36</v>
      </c>
      <c r="D205" s="7" t="s">
        <v>76</v>
      </c>
      <c r="E205" s="7" t="s">
        <v>19</v>
      </c>
      <c r="F205" s="7" t="s">
        <v>77</v>
      </c>
      <c r="G205" s="7">
        <v>4</v>
      </c>
      <c r="H205" s="9">
        <v>520</v>
      </c>
      <c r="I205" s="10">
        <v>0</v>
      </c>
      <c r="J205" s="7" t="s">
        <v>89</v>
      </c>
      <c r="K205" s="7" t="s">
        <v>65</v>
      </c>
      <c r="L205" s="7" t="s">
        <v>66</v>
      </c>
      <c r="M205" s="11">
        <f t="shared" si="18"/>
        <v>2080</v>
      </c>
      <c r="N205" t="str">
        <f t="shared" si="19"/>
        <v>May</v>
      </c>
      <c r="O205">
        <f t="shared" si="20"/>
        <v>2</v>
      </c>
      <c r="P205">
        <f>VLOOKUP(F205,Products!A:C,3,FALSE)</f>
        <v>322</v>
      </c>
      <c r="Q205" s="12">
        <f t="shared" si="21"/>
        <v>792</v>
      </c>
    </row>
    <row r="206" ht="15">
      <c r="A206" s="7" t="s">
        <v>298</v>
      </c>
      <c r="B206" s="8">
        <v>45782</v>
      </c>
      <c r="C206" s="7" t="s">
        <v>40</v>
      </c>
      <c r="D206" s="7" t="s">
        <v>85</v>
      </c>
      <c r="E206" s="7" t="s">
        <v>34</v>
      </c>
      <c r="F206" s="7" t="s">
        <v>86</v>
      </c>
      <c r="G206" s="7">
        <v>29</v>
      </c>
      <c r="H206" s="9">
        <v>210</v>
      </c>
      <c r="I206" s="10">
        <v>0</v>
      </c>
      <c r="J206" s="7" t="s">
        <v>70</v>
      </c>
      <c r="K206" s="7" t="s">
        <v>71</v>
      </c>
      <c r="L206" s="7" t="s">
        <v>90</v>
      </c>
      <c r="M206" s="11">
        <f t="shared" si="18"/>
        <v>6090</v>
      </c>
      <c r="N206" t="str">
        <f t="shared" si="19"/>
        <v>May</v>
      </c>
      <c r="O206">
        <f t="shared" si="20"/>
        <v>2</v>
      </c>
      <c r="P206">
        <f>VLOOKUP(F206,Products!A:C,3,FALSE)</f>
        <v>130</v>
      </c>
      <c r="Q206" s="12">
        <f t="shared" si="21"/>
        <v>2320</v>
      </c>
    </row>
    <row r="207" ht="15">
      <c r="A207" s="7" t="s">
        <v>299</v>
      </c>
      <c r="B207" s="8">
        <v>45782</v>
      </c>
      <c r="C207" s="7" t="s">
        <v>33</v>
      </c>
      <c r="D207" s="7" t="s">
        <v>68</v>
      </c>
      <c r="E207" s="7" t="s">
        <v>34</v>
      </c>
      <c r="F207" s="7" t="s">
        <v>92</v>
      </c>
      <c r="G207" s="7">
        <v>39</v>
      </c>
      <c r="H207" s="9">
        <v>85</v>
      </c>
      <c r="I207" s="10">
        <v>0</v>
      </c>
      <c r="J207" s="7" t="s">
        <v>93</v>
      </c>
      <c r="K207" s="7" t="s">
        <v>71</v>
      </c>
      <c r="L207" s="7" t="s">
        <v>78</v>
      </c>
      <c r="M207" s="11">
        <f t="shared" si="18"/>
        <v>3315</v>
      </c>
      <c r="N207" t="str">
        <f t="shared" si="19"/>
        <v>May</v>
      </c>
      <c r="O207">
        <f t="shared" si="20"/>
        <v>2</v>
      </c>
      <c r="P207">
        <f>VLOOKUP(F207,Products!A:C,3,FALSE)</f>
        <v>53</v>
      </c>
      <c r="Q207" s="12">
        <f t="shared" si="21"/>
        <v>1248</v>
      </c>
    </row>
    <row r="208" ht="15">
      <c r="A208" s="7" t="s">
        <v>300</v>
      </c>
      <c r="B208" s="8">
        <v>45782</v>
      </c>
      <c r="C208" s="7" t="s">
        <v>36</v>
      </c>
      <c r="D208" s="7" t="s">
        <v>76</v>
      </c>
      <c r="E208" s="7" t="s">
        <v>24</v>
      </c>
      <c r="F208" s="7" t="s">
        <v>35</v>
      </c>
      <c r="G208" s="7">
        <v>2</v>
      </c>
      <c r="H208" s="9">
        <v>8200</v>
      </c>
      <c r="I208" s="10">
        <v>0.14999999999999999</v>
      </c>
      <c r="J208" s="7" t="s">
        <v>83</v>
      </c>
      <c r="K208" s="7" t="s">
        <v>65</v>
      </c>
      <c r="L208" s="7" t="s">
        <v>90</v>
      </c>
      <c r="M208" s="11">
        <f t="shared" si="18"/>
        <v>13940</v>
      </c>
      <c r="N208" t="str">
        <f t="shared" si="19"/>
        <v>May</v>
      </c>
      <c r="O208">
        <f t="shared" si="20"/>
        <v>2</v>
      </c>
      <c r="P208">
        <f>VLOOKUP(F208,Products!A:C,3,FALSE)</f>
        <v>5084</v>
      </c>
      <c r="Q208" s="12">
        <f t="shared" si="21"/>
        <v>3772</v>
      </c>
    </row>
    <row r="209" ht="15">
      <c r="A209" s="7" t="s">
        <v>301</v>
      </c>
      <c r="B209" s="8">
        <v>45783</v>
      </c>
      <c r="C209" s="7" t="s">
        <v>40</v>
      </c>
      <c r="D209" s="7" t="s">
        <v>85</v>
      </c>
      <c r="E209" s="7" t="s">
        <v>19</v>
      </c>
      <c r="F209" s="7" t="s">
        <v>106</v>
      </c>
      <c r="G209" s="7">
        <v>1</v>
      </c>
      <c r="H209" s="9">
        <v>180</v>
      </c>
      <c r="I209" s="10">
        <v>0</v>
      </c>
      <c r="J209" s="7" t="s">
        <v>103</v>
      </c>
      <c r="K209" s="7" t="s">
        <v>65</v>
      </c>
      <c r="L209" s="7" t="s">
        <v>74</v>
      </c>
      <c r="M209" s="11">
        <f t="shared" si="18"/>
        <v>180</v>
      </c>
      <c r="N209" t="str">
        <f t="shared" si="19"/>
        <v>May</v>
      </c>
      <c r="O209">
        <f t="shared" si="20"/>
        <v>2</v>
      </c>
      <c r="P209">
        <f>VLOOKUP(F209,Products!A:C,3,FALSE)</f>
        <v>112</v>
      </c>
      <c r="Q209" s="12">
        <f t="shared" si="21"/>
        <v>68</v>
      </c>
    </row>
    <row r="210" ht="15">
      <c r="A210" s="7" t="s">
        <v>302</v>
      </c>
      <c r="B210" s="8">
        <v>45783</v>
      </c>
      <c r="C210" s="7" t="s">
        <v>40</v>
      </c>
      <c r="D210" s="7" t="s">
        <v>85</v>
      </c>
      <c r="E210" s="7" t="s">
        <v>29</v>
      </c>
      <c r="F210" s="7" t="s">
        <v>81</v>
      </c>
      <c r="G210" s="7">
        <v>2</v>
      </c>
      <c r="H210" s="9">
        <v>1900</v>
      </c>
      <c r="I210" s="10">
        <v>0</v>
      </c>
      <c r="J210" s="7" t="s">
        <v>103</v>
      </c>
      <c r="K210" s="7" t="s">
        <v>65</v>
      </c>
      <c r="L210" s="7" t="s">
        <v>66</v>
      </c>
      <c r="M210" s="11">
        <f t="shared" si="18"/>
        <v>3800</v>
      </c>
      <c r="N210" t="str">
        <f t="shared" si="19"/>
        <v>May</v>
      </c>
      <c r="O210">
        <f t="shared" si="20"/>
        <v>2</v>
      </c>
      <c r="P210">
        <f>VLOOKUP(F210,Products!A:C,3,FALSE)</f>
        <v>1178</v>
      </c>
      <c r="Q210" s="12">
        <f t="shared" si="21"/>
        <v>1444</v>
      </c>
    </row>
    <row r="211" ht="15">
      <c r="A211" s="7" t="s">
        <v>303</v>
      </c>
      <c r="B211" s="8">
        <v>45783</v>
      </c>
      <c r="C211" s="7" t="s">
        <v>18</v>
      </c>
      <c r="D211" s="7" t="s">
        <v>63</v>
      </c>
      <c r="E211" s="7" t="s">
        <v>29</v>
      </c>
      <c r="F211" s="7" t="s">
        <v>21</v>
      </c>
      <c r="G211" s="7">
        <v>1</v>
      </c>
      <c r="H211" s="9">
        <v>3600</v>
      </c>
      <c r="I211" s="10">
        <v>0.14999999999999999</v>
      </c>
      <c r="J211" s="7" t="s">
        <v>64</v>
      </c>
      <c r="K211" s="7" t="s">
        <v>65</v>
      </c>
      <c r="L211" s="7" t="s">
        <v>66</v>
      </c>
      <c r="M211" s="11">
        <f t="shared" si="18"/>
        <v>3060</v>
      </c>
      <c r="N211" t="str">
        <f t="shared" si="19"/>
        <v>May</v>
      </c>
      <c r="O211">
        <f t="shared" si="20"/>
        <v>2</v>
      </c>
      <c r="P211">
        <f>VLOOKUP(F211,Products!A:C,3,FALSE)</f>
        <v>2232</v>
      </c>
      <c r="Q211" s="12">
        <f t="shared" si="21"/>
        <v>828</v>
      </c>
    </row>
    <row r="212" ht="15">
      <c r="A212" s="7" t="s">
        <v>304</v>
      </c>
      <c r="B212" s="8">
        <v>45783</v>
      </c>
      <c r="C212" s="7" t="s">
        <v>23</v>
      </c>
      <c r="D212" s="7" t="s">
        <v>105</v>
      </c>
      <c r="E212" s="7" t="s">
        <v>29</v>
      </c>
      <c r="F212" s="7" t="s">
        <v>81</v>
      </c>
      <c r="G212" s="7">
        <v>3</v>
      </c>
      <c r="H212" s="9">
        <v>1900</v>
      </c>
      <c r="I212" s="10">
        <v>5.0000000000000003e-002</v>
      </c>
      <c r="J212" s="7" t="s">
        <v>103</v>
      </c>
      <c r="K212" s="7" t="s">
        <v>65</v>
      </c>
      <c r="L212" s="7" t="s">
        <v>90</v>
      </c>
      <c r="M212" s="11">
        <f t="shared" si="18"/>
        <v>5415</v>
      </c>
      <c r="N212" t="str">
        <f t="shared" si="19"/>
        <v>May</v>
      </c>
      <c r="O212">
        <f t="shared" si="20"/>
        <v>2</v>
      </c>
      <c r="P212">
        <f>VLOOKUP(F212,Products!A:C,3,FALSE)</f>
        <v>1178</v>
      </c>
      <c r="Q212" s="12">
        <f t="shared" si="21"/>
        <v>1881</v>
      </c>
    </row>
    <row r="213" ht="15">
      <c r="A213" s="7" t="s">
        <v>305</v>
      </c>
      <c r="B213" s="8">
        <v>45783</v>
      </c>
      <c r="C213" s="7" t="s">
        <v>40</v>
      </c>
      <c r="D213" s="7" t="s">
        <v>98</v>
      </c>
      <c r="E213" s="7" t="s">
        <v>29</v>
      </c>
      <c r="F213" s="7" t="s">
        <v>120</v>
      </c>
      <c r="G213" s="7">
        <v>1</v>
      </c>
      <c r="H213" s="9">
        <v>2300</v>
      </c>
      <c r="I213" s="10">
        <v>0</v>
      </c>
      <c r="J213" s="7" t="s">
        <v>93</v>
      </c>
      <c r="K213" s="7" t="s">
        <v>65</v>
      </c>
      <c r="L213" s="7" t="s">
        <v>74</v>
      </c>
      <c r="M213" s="11">
        <f t="shared" si="18"/>
        <v>2300</v>
      </c>
      <c r="N213" t="str">
        <f t="shared" si="19"/>
        <v>May</v>
      </c>
      <c r="O213">
        <f t="shared" si="20"/>
        <v>2</v>
      </c>
      <c r="P213">
        <f>VLOOKUP(F213,Products!A:C,3,FALSE)</f>
        <v>1426</v>
      </c>
      <c r="Q213" s="12">
        <f t="shared" si="21"/>
        <v>874</v>
      </c>
    </row>
    <row r="214" ht="15">
      <c r="A214" s="7" t="s">
        <v>306</v>
      </c>
      <c r="B214" s="8">
        <v>45784</v>
      </c>
      <c r="C214" s="7" t="s">
        <v>40</v>
      </c>
      <c r="D214" s="7" t="s">
        <v>98</v>
      </c>
      <c r="E214" s="7" t="s">
        <v>19</v>
      </c>
      <c r="F214" s="7" t="s">
        <v>73</v>
      </c>
      <c r="G214" s="7">
        <v>2</v>
      </c>
      <c r="H214" s="9">
        <v>650</v>
      </c>
      <c r="I214" s="10">
        <v>0</v>
      </c>
      <c r="J214" s="7" t="s">
        <v>83</v>
      </c>
      <c r="K214" s="7" t="s">
        <v>65</v>
      </c>
      <c r="L214" s="7" t="s">
        <v>90</v>
      </c>
      <c r="M214" s="11">
        <f t="shared" si="18"/>
        <v>1300</v>
      </c>
      <c r="N214" t="str">
        <f t="shared" si="19"/>
        <v>May</v>
      </c>
      <c r="O214">
        <f t="shared" si="20"/>
        <v>2</v>
      </c>
      <c r="P214">
        <f>VLOOKUP(F214,Products!A:C,3,FALSE)</f>
        <v>403</v>
      </c>
      <c r="Q214" s="12">
        <f t="shared" si="21"/>
        <v>494</v>
      </c>
    </row>
    <row r="215" ht="15">
      <c r="A215" s="7" t="s">
        <v>307</v>
      </c>
      <c r="B215" s="8">
        <v>45784</v>
      </c>
      <c r="C215" s="7" t="s">
        <v>23</v>
      </c>
      <c r="D215" s="7" t="s">
        <v>95</v>
      </c>
      <c r="E215" s="7" t="s">
        <v>24</v>
      </c>
      <c r="F215" s="7" t="s">
        <v>96</v>
      </c>
      <c r="G215" s="7">
        <v>2</v>
      </c>
      <c r="H215" s="9">
        <v>1450</v>
      </c>
      <c r="I215" s="10">
        <v>0.14999999999999999</v>
      </c>
      <c r="J215" s="7" t="s">
        <v>89</v>
      </c>
      <c r="K215" s="7" t="s">
        <v>65</v>
      </c>
      <c r="L215" s="7" t="s">
        <v>78</v>
      </c>
      <c r="M215" s="11">
        <f t="shared" si="18"/>
        <v>2465</v>
      </c>
      <c r="N215" t="str">
        <f t="shared" si="19"/>
        <v>May</v>
      </c>
      <c r="O215">
        <f t="shared" si="20"/>
        <v>2</v>
      </c>
      <c r="P215">
        <f>VLOOKUP(F215,Products!A:C,3,FALSE)</f>
        <v>899</v>
      </c>
      <c r="Q215" s="12">
        <f t="shared" si="21"/>
        <v>667</v>
      </c>
    </row>
    <row r="216" ht="15">
      <c r="A216" s="7" t="s">
        <v>308</v>
      </c>
      <c r="B216" s="8">
        <v>45784</v>
      </c>
      <c r="C216" s="7" t="s">
        <v>36</v>
      </c>
      <c r="D216" s="7" t="s">
        <v>114</v>
      </c>
      <c r="E216" s="7" t="s">
        <v>19</v>
      </c>
      <c r="F216" s="7" t="s">
        <v>73</v>
      </c>
      <c r="G216" s="7">
        <v>4</v>
      </c>
      <c r="H216" s="9">
        <v>650</v>
      </c>
      <c r="I216" s="10">
        <v>0.10000000000000001</v>
      </c>
      <c r="J216" s="7" t="s">
        <v>70</v>
      </c>
      <c r="K216" s="7" t="s">
        <v>65</v>
      </c>
      <c r="L216" s="7" t="s">
        <v>74</v>
      </c>
      <c r="M216" s="11">
        <f t="shared" si="18"/>
        <v>2340</v>
      </c>
      <c r="N216" t="str">
        <f t="shared" si="19"/>
        <v>May</v>
      </c>
      <c r="O216">
        <f t="shared" si="20"/>
        <v>2</v>
      </c>
      <c r="P216">
        <f>VLOOKUP(F216,Products!A:C,3,FALSE)</f>
        <v>403</v>
      </c>
      <c r="Q216" s="12">
        <f t="shared" si="21"/>
        <v>728</v>
      </c>
    </row>
    <row r="217" ht="15">
      <c r="A217" s="7" t="s">
        <v>309</v>
      </c>
      <c r="B217" s="8">
        <v>45785</v>
      </c>
      <c r="C217" s="7" t="s">
        <v>40</v>
      </c>
      <c r="D217" s="7" t="s">
        <v>80</v>
      </c>
      <c r="E217" s="7" t="s">
        <v>24</v>
      </c>
      <c r="F217" s="7" t="s">
        <v>96</v>
      </c>
      <c r="G217" s="7">
        <v>1</v>
      </c>
      <c r="H217" s="9">
        <v>1450</v>
      </c>
      <c r="I217" s="10">
        <v>0.10000000000000001</v>
      </c>
      <c r="J217" s="7" t="s">
        <v>103</v>
      </c>
      <c r="K217" s="7" t="s">
        <v>71</v>
      </c>
      <c r="L217" s="7" t="s">
        <v>74</v>
      </c>
      <c r="M217" s="11">
        <f t="shared" si="18"/>
        <v>1305</v>
      </c>
      <c r="N217" t="str">
        <f t="shared" si="19"/>
        <v>May</v>
      </c>
      <c r="O217">
        <f t="shared" si="20"/>
        <v>2</v>
      </c>
      <c r="P217">
        <f>VLOOKUP(F217,Products!A:C,3,FALSE)</f>
        <v>899</v>
      </c>
      <c r="Q217" s="12">
        <f t="shared" si="21"/>
        <v>406</v>
      </c>
    </row>
    <row r="218" ht="15">
      <c r="A218" s="7" t="s">
        <v>310</v>
      </c>
      <c r="B218" s="8">
        <v>45786</v>
      </c>
      <c r="C218" s="7" t="s">
        <v>40</v>
      </c>
      <c r="D218" s="7" t="s">
        <v>85</v>
      </c>
      <c r="E218" s="7" t="s">
        <v>29</v>
      </c>
      <c r="F218" s="7" t="s">
        <v>120</v>
      </c>
      <c r="G218" s="7">
        <v>1</v>
      </c>
      <c r="H218" s="9">
        <v>2300</v>
      </c>
      <c r="I218" s="10">
        <v>0</v>
      </c>
      <c r="J218" s="7" t="s">
        <v>89</v>
      </c>
      <c r="K218" s="7" t="s">
        <v>71</v>
      </c>
      <c r="L218" s="7" t="s">
        <v>66</v>
      </c>
      <c r="M218" s="11">
        <f t="shared" si="18"/>
        <v>2300</v>
      </c>
      <c r="N218" t="str">
        <f t="shared" si="19"/>
        <v>May</v>
      </c>
      <c r="O218">
        <f t="shared" si="20"/>
        <v>2</v>
      </c>
      <c r="P218">
        <f>VLOOKUP(F218,Products!A:C,3,FALSE)</f>
        <v>1426</v>
      </c>
      <c r="Q218" s="12">
        <f t="shared" si="21"/>
        <v>874</v>
      </c>
    </row>
    <row r="219" ht="15">
      <c r="A219" s="7" t="s">
        <v>311</v>
      </c>
      <c r="B219" s="8">
        <v>45786</v>
      </c>
      <c r="C219" s="7" t="s">
        <v>33</v>
      </c>
      <c r="D219" s="7" t="s">
        <v>68</v>
      </c>
      <c r="E219" s="7" t="s">
        <v>34</v>
      </c>
      <c r="F219" s="7" t="s">
        <v>92</v>
      </c>
      <c r="G219" s="7">
        <v>12</v>
      </c>
      <c r="H219" s="9">
        <v>85</v>
      </c>
      <c r="I219" s="10">
        <v>0</v>
      </c>
      <c r="J219" s="7" t="s">
        <v>93</v>
      </c>
      <c r="K219" s="7" t="s">
        <v>71</v>
      </c>
      <c r="L219" s="7" t="s">
        <v>74</v>
      </c>
      <c r="M219" s="11">
        <f t="shared" si="18"/>
        <v>1020</v>
      </c>
      <c r="N219" t="str">
        <f t="shared" si="19"/>
        <v>May</v>
      </c>
      <c r="O219">
        <f t="shared" si="20"/>
        <v>2</v>
      </c>
      <c r="P219">
        <f>VLOOKUP(F219,Products!A:C,3,FALSE)</f>
        <v>53</v>
      </c>
      <c r="Q219" s="12">
        <f t="shared" si="21"/>
        <v>384</v>
      </c>
    </row>
    <row r="220" ht="15">
      <c r="A220" s="7" t="s">
        <v>312</v>
      </c>
      <c r="B220" s="8">
        <v>45789</v>
      </c>
      <c r="C220" s="7" t="s">
        <v>36</v>
      </c>
      <c r="D220" s="7" t="s">
        <v>76</v>
      </c>
      <c r="E220" s="7" t="s">
        <v>19</v>
      </c>
      <c r="F220" s="7" t="s">
        <v>77</v>
      </c>
      <c r="G220" s="7">
        <v>1</v>
      </c>
      <c r="H220" s="9">
        <v>520</v>
      </c>
      <c r="I220" s="10">
        <v>0.14999999999999999</v>
      </c>
      <c r="J220" s="7" t="s">
        <v>64</v>
      </c>
      <c r="K220" s="7" t="s">
        <v>65</v>
      </c>
      <c r="L220" s="7" t="s">
        <v>74</v>
      </c>
      <c r="M220" s="11">
        <f t="shared" si="18"/>
        <v>442</v>
      </c>
      <c r="N220" t="str">
        <f t="shared" si="19"/>
        <v>May</v>
      </c>
      <c r="O220">
        <f t="shared" si="20"/>
        <v>2</v>
      </c>
      <c r="P220">
        <f>VLOOKUP(F220,Products!A:C,3,FALSE)</f>
        <v>322</v>
      </c>
      <c r="Q220" s="12">
        <f t="shared" si="21"/>
        <v>120</v>
      </c>
    </row>
    <row r="221" ht="15">
      <c r="A221" s="7" t="s">
        <v>313</v>
      </c>
      <c r="B221" s="8">
        <v>45791</v>
      </c>
      <c r="C221" s="7" t="s">
        <v>40</v>
      </c>
      <c r="D221" s="7" t="s">
        <v>85</v>
      </c>
      <c r="E221" s="7" t="s">
        <v>24</v>
      </c>
      <c r="F221" s="7" t="s">
        <v>26</v>
      </c>
      <c r="G221" s="7">
        <v>2</v>
      </c>
      <c r="H221" s="9">
        <v>3100</v>
      </c>
      <c r="I221" s="10">
        <v>0.10000000000000001</v>
      </c>
      <c r="J221" s="7" t="s">
        <v>70</v>
      </c>
      <c r="K221" s="7" t="s">
        <v>65</v>
      </c>
      <c r="L221" s="7" t="s">
        <v>74</v>
      </c>
      <c r="M221" s="11">
        <f t="shared" si="18"/>
        <v>5580</v>
      </c>
      <c r="N221" t="str">
        <f t="shared" si="19"/>
        <v>May</v>
      </c>
      <c r="O221">
        <f t="shared" si="20"/>
        <v>2</v>
      </c>
      <c r="P221">
        <f>VLOOKUP(F221,Products!A:C,3,FALSE)</f>
        <v>1922</v>
      </c>
      <c r="Q221" s="12">
        <f t="shared" si="21"/>
        <v>1736</v>
      </c>
    </row>
    <row r="222" ht="15">
      <c r="A222" s="7" t="s">
        <v>314</v>
      </c>
      <c r="B222" s="8">
        <v>45791</v>
      </c>
      <c r="C222" s="7" t="s">
        <v>33</v>
      </c>
      <c r="D222" s="7" t="s">
        <v>102</v>
      </c>
      <c r="E222" s="7" t="s">
        <v>34</v>
      </c>
      <c r="F222" s="7" t="s">
        <v>92</v>
      </c>
      <c r="G222" s="7">
        <v>36</v>
      </c>
      <c r="H222" s="9">
        <v>85</v>
      </c>
      <c r="I222" s="10">
        <v>0.14999999999999999</v>
      </c>
      <c r="J222" s="7" t="s">
        <v>83</v>
      </c>
      <c r="K222" s="7" t="s">
        <v>71</v>
      </c>
      <c r="L222" s="7" t="s">
        <v>74</v>
      </c>
      <c r="M222" s="11">
        <f t="shared" si="18"/>
        <v>2601</v>
      </c>
      <c r="N222" t="str">
        <f t="shared" si="19"/>
        <v>May</v>
      </c>
      <c r="O222">
        <f t="shared" si="20"/>
        <v>2</v>
      </c>
      <c r="P222">
        <f>VLOOKUP(F222,Products!A:C,3,FALSE)</f>
        <v>53</v>
      </c>
      <c r="Q222" s="12">
        <f t="shared" si="21"/>
        <v>693</v>
      </c>
    </row>
    <row r="223" ht="15">
      <c r="A223" s="7" t="s">
        <v>315</v>
      </c>
      <c r="B223" s="8">
        <v>45791</v>
      </c>
      <c r="C223" s="7" t="s">
        <v>40</v>
      </c>
      <c r="D223" s="7" t="s">
        <v>85</v>
      </c>
      <c r="E223" s="7" t="s">
        <v>34</v>
      </c>
      <c r="F223" s="7" t="s">
        <v>69</v>
      </c>
      <c r="G223" s="7">
        <v>13</v>
      </c>
      <c r="H223" s="9">
        <v>120</v>
      </c>
      <c r="I223" s="10">
        <v>0</v>
      </c>
      <c r="J223" s="7" t="s">
        <v>93</v>
      </c>
      <c r="K223" s="7" t="s">
        <v>71</v>
      </c>
      <c r="L223" s="7" t="s">
        <v>78</v>
      </c>
      <c r="M223" s="11">
        <f t="shared" si="18"/>
        <v>1560</v>
      </c>
      <c r="N223" t="str">
        <f t="shared" si="19"/>
        <v>May</v>
      </c>
      <c r="O223">
        <f t="shared" si="20"/>
        <v>2</v>
      </c>
      <c r="P223">
        <f>VLOOKUP(F223,Products!A:C,3,FALSE)</f>
        <v>74</v>
      </c>
      <c r="Q223" s="12">
        <f t="shared" si="21"/>
        <v>598</v>
      </c>
    </row>
    <row r="224" ht="15">
      <c r="A224" s="7" t="s">
        <v>316</v>
      </c>
      <c r="B224" s="8">
        <v>45792</v>
      </c>
      <c r="C224" s="7" t="s">
        <v>40</v>
      </c>
      <c r="D224" s="7" t="s">
        <v>98</v>
      </c>
      <c r="E224" s="7" t="s">
        <v>19</v>
      </c>
      <c r="F224" s="7" t="s">
        <v>77</v>
      </c>
      <c r="G224" s="7">
        <v>4</v>
      </c>
      <c r="H224" s="9">
        <v>520</v>
      </c>
      <c r="I224" s="10">
        <v>0</v>
      </c>
      <c r="J224" s="7" t="s">
        <v>64</v>
      </c>
      <c r="K224" s="7" t="s">
        <v>71</v>
      </c>
      <c r="L224" s="7" t="s">
        <v>90</v>
      </c>
      <c r="M224" s="11">
        <f t="shared" si="18"/>
        <v>2080</v>
      </c>
      <c r="N224" t="str">
        <f t="shared" si="19"/>
        <v>May</v>
      </c>
      <c r="O224">
        <f t="shared" si="20"/>
        <v>2</v>
      </c>
      <c r="P224">
        <f>VLOOKUP(F224,Products!A:C,3,FALSE)</f>
        <v>322</v>
      </c>
      <c r="Q224" s="12">
        <f t="shared" si="21"/>
        <v>792</v>
      </c>
    </row>
    <row r="225" ht="15">
      <c r="A225" s="7" t="s">
        <v>317</v>
      </c>
      <c r="B225" s="8">
        <v>45792</v>
      </c>
      <c r="C225" s="7" t="s">
        <v>36</v>
      </c>
      <c r="D225" s="7" t="s">
        <v>76</v>
      </c>
      <c r="E225" s="7" t="s">
        <v>29</v>
      </c>
      <c r="F225" s="7" t="s">
        <v>21</v>
      </c>
      <c r="G225" s="7">
        <v>4</v>
      </c>
      <c r="H225" s="9">
        <v>3600</v>
      </c>
      <c r="I225" s="10">
        <v>5.0000000000000003e-002</v>
      </c>
      <c r="J225" s="7" t="s">
        <v>64</v>
      </c>
      <c r="K225" s="7" t="s">
        <v>65</v>
      </c>
      <c r="L225" s="7" t="s">
        <v>78</v>
      </c>
      <c r="M225" s="11">
        <f t="shared" si="18"/>
        <v>13680</v>
      </c>
      <c r="N225" t="str">
        <f t="shared" si="19"/>
        <v>May</v>
      </c>
      <c r="O225">
        <f t="shared" si="20"/>
        <v>2</v>
      </c>
      <c r="P225">
        <f>VLOOKUP(F225,Products!A:C,3,FALSE)</f>
        <v>2232</v>
      </c>
      <c r="Q225" s="12">
        <f t="shared" si="21"/>
        <v>4752</v>
      </c>
    </row>
    <row r="226" ht="15">
      <c r="A226" s="7" t="s">
        <v>318</v>
      </c>
      <c r="B226" s="8">
        <v>45793</v>
      </c>
      <c r="C226" s="7" t="s">
        <v>36</v>
      </c>
      <c r="D226" s="7" t="s">
        <v>76</v>
      </c>
      <c r="E226" s="7" t="s">
        <v>19</v>
      </c>
      <c r="F226" s="7" t="s">
        <v>106</v>
      </c>
      <c r="G226" s="7">
        <v>1</v>
      </c>
      <c r="H226" s="9">
        <v>180</v>
      </c>
      <c r="I226" s="10">
        <v>0</v>
      </c>
      <c r="J226" s="7" t="s">
        <v>64</v>
      </c>
      <c r="K226" s="7" t="s">
        <v>65</v>
      </c>
      <c r="L226" s="7" t="s">
        <v>74</v>
      </c>
      <c r="M226" s="11">
        <f t="shared" si="18"/>
        <v>180</v>
      </c>
      <c r="N226" t="str">
        <f t="shared" si="19"/>
        <v>May</v>
      </c>
      <c r="O226">
        <f t="shared" si="20"/>
        <v>2</v>
      </c>
      <c r="P226">
        <f>VLOOKUP(F226,Products!A:C,3,FALSE)</f>
        <v>112</v>
      </c>
      <c r="Q226" s="12">
        <f t="shared" si="21"/>
        <v>68</v>
      </c>
    </row>
    <row r="227" ht="15">
      <c r="A227" s="7" t="s">
        <v>319</v>
      </c>
      <c r="B227" s="8">
        <v>45793</v>
      </c>
      <c r="C227" s="7" t="s">
        <v>33</v>
      </c>
      <c r="D227" s="7" t="s">
        <v>68</v>
      </c>
      <c r="E227" s="7" t="s">
        <v>19</v>
      </c>
      <c r="F227" s="7" t="s">
        <v>106</v>
      </c>
      <c r="G227" s="7">
        <v>1</v>
      </c>
      <c r="H227" s="9">
        <v>180</v>
      </c>
      <c r="I227" s="10">
        <v>0.10000000000000001</v>
      </c>
      <c r="J227" s="7" t="s">
        <v>103</v>
      </c>
      <c r="K227" s="7" t="s">
        <v>65</v>
      </c>
      <c r="L227" s="7" t="s">
        <v>66</v>
      </c>
      <c r="M227" s="11">
        <f t="shared" si="18"/>
        <v>162</v>
      </c>
      <c r="N227" t="str">
        <f t="shared" si="19"/>
        <v>May</v>
      </c>
      <c r="O227">
        <f t="shared" si="20"/>
        <v>2</v>
      </c>
      <c r="P227">
        <f>VLOOKUP(F227,Products!A:C,3,FALSE)</f>
        <v>112</v>
      </c>
      <c r="Q227" s="12">
        <f t="shared" si="21"/>
        <v>50</v>
      </c>
    </row>
    <row r="228" ht="15">
      <c r="A228" s="7" t="s">
        <v>320</v>
      </c>
      <c r="B228" s="8">
        <v>45793</v>
      </c>
      <c r="C228" s="7" t="s">
        <v>23</v>
      </c>
      <c r="D228" s="7" t="s">
        <v>95</v>
      </c>
      <c r="E228" s="7" t="s">
        <v>34</v>
      </c>
      <c r="F228" s="7" t="s">
        <v>69</v>
      </c>
      <c r="G228" s="7">
        <v>33</v>
      </c>
      <c r="H228" s="9">
        <v>120</v>
      </c>
      <c r="I228" s="10">
        <v>0.10000000000000001</v>
      </c>
      <c r="J228" s="7" t="s">
        <v>64</v>
      </c>
      <c r="K228" s="7" t="s">
        <v>71</v>
      </c>
      <c r="L228" s="7" t="s">
        <v>78</v>
      </c>
      <c r="M228" s="11">
        <f t="shared" ref="M228:M291" si="22">G228*H228*(1-I228)</f>
        <v>3564</v>
      </c>
      <c r="N228" t="str">
        <f t="shared" ref="N228:N291" si="23">TEXT(B228,"mmm")</f>
        <v>May</v>
      </c>
      <c r="O228">
        <f t="shared" ref="O228:O291" si="24">ROUNDUP(MONTH(B228)/3,0)</f>
        <v>2</v>
      </c>
      <c r="P228">
        <f>VLOOKUP(F228,Products!A:C,3,FALSE)</f>
        <v>74</v>
      </c>
      <c r="Q228" s="12">
        <f t="shared" ref="Q228:Q291" si="25">M228-(G228*P228)</f>
        <v>1122</v>
      </c>
    </row>
    <row r="229" ht="15">
      <c r="A229" s="7" t="s">
        <v>321</v>
      </c>
      <c r="B229" s="8">
        <v>45793</v>
      </c>
      <c r="C229" s="7" t="s">
        <v>23</v>
      </c>
      <c r="D229" s="7" t="s">
        <v>95</v>
      </c>
      <c r="E229" s="7" t="s">
        <v>19</v>
      </c>
      <c r="F229" s="7" t="s">
        <v>73</v>
      </c>
      <c r="G229" s="7">
        <v>3</v>
      </c>
      <c r="H229" s="9">
        <v>650</v>
      </c>
      <c r="I229" s="10">
        <v>0</v>
      </c>
      <c r="J229" s="7" t="s">
        <v>70</v>
      </c>
      <c r="K229" s="7" t="s">
        <v>65</v>
      </c>
      <c r="L229" s="7" t="s">
        <v>78</v>
      </c>
      <c r="M229" s="11">
        <f t="shared" si="22"/>
        <v>1950</v>
      </c>
      <c r="N229" t="str">
        <f t="shared" si="23"/>
        <v>May</v>
      </c>
      <c r="O229">
        <f t="shared" si="24"/>
        <v>2</v>
      </c>
      <c r="P229">
        <f>VLOOKUP(F229,Products!A:C,3,FALSE)</f>
        <v>403</v>
      </c>
      <c r="Q229" s="12">
        <f t="shared" si="25"/>
        <v>741</v>
      </c>
    </row>
    <row r="230" ht="15">
      <c r="A230" s="7" t="s">
        <v>322</v>
      </c>
      <c r="B230" s="8">
        <v>45794</v>
      </c>
      <c r="C230" s="7" t="s">
        <v>18</v>
      </c>
      <c r="D230" s="7" t="s">
        <v>63</v>
      </c>
      <c r="E230" s="7" t="s">
        <v>29</v>
      </c>
      <c r="F230" s="7" t="s">
        <v>81</v>
      </c>
      <c r="G230" s="7">
        <v>2</v>
      </c>
      <c r="H230" s="9">
        <v>1900</v>
      </c>
      <c r="I230" s="10">
        <v>0</v>
      </c>
      <c r="J230" s="7" t="s">
        <v>89</v>
      </c>
      <c r="K230" s="7" t="s">
        <v>65</v>
      </c>
      <c r="L230" s="7" t="s">
        <v>66</v>
      </c>
      <c r="M230" s="11">
        <f t="shared" si="22"/>
        <v>3800</v>
      </c>
      <c r="N230" t="str">
        <f t="shared" si="23"/>
        <v>May</v>
      </c>
      <c r="O230">
        <f t="shared" si="24"/>
        <v>2</v>
      </c>
      <c r="P230">
        <f>VLOOKUP(F230,Products!A:C,3,FALSE)</f>
        <v>1178</v>
      </c>
      <c r="Q230" s="12">
        <f t="shared" si="25"/>
        <v>1444</v>
      </c>
    </row>
    <row r="231" ht="15">
      <c r="A231" s="7" t="s">
        <v>323</v>
      </c>
      <c r="B231" s="8">
        <v>45795</v>
      </c>
      <c r="C231" s="7" t="s">
        <v>36</v>
      </c>
      <c r="D231" s="7" t="s">
        <v>76</v>
      </c>
      <c r="E231" s="7" t="s">
        <v>19</v>
      </c>
      <c r="F231" s="7" t="s">
        <v>77</v>
      </c>
      <c r="G231" s="7">
        <v>2</v>
      </c>
      <c r="H231" s="9">
        <v>520</v>
      </c>
      <c r="I231" s="10">
        <v>0.10000000000000001</v>
      </c>
      <c r="J231" s="7" t="s">
        <v>64</v>
      </c>
      <c r="K231" s="7" t="s">
        <v>71</v>
      </c>
      <c r="L231" s="7" t="s">
        <v>74</v>
      </c>
      <c r="M231" s="11">
        <f t="shared" si="22"/>
        <v>936</v>
      </c>
      <c r="N231" t="str">
        <f t="shared" si="23"/>
        <v>May</v>
      </c>
      <c r="O231">
        <f t="shared" si="24"/>
        <v>2</v>
      </c>
      <c r="P231">
        <f>VLOOKUP(F231,Products!A:C,3,FALSE)</f>
        <v>322</v>
      </c>
      <c r="Q231" s="12">
        <f t="shared" si="25"/>
        <v>292</v>
      </c>
    </row>
    <row r="232" ht="15">
      <c r="A232" s="7" t="s">
        <v>324</v>
      </c>
      <c r="B232" s="8">
        <v>45796</v>
      </c>
      <c r="C232" s="7" t="s">
        <v>40</v>
      </c>
      <c r="D232" s="7" t="s">
        <v>85</v>
      </c>
      <c r="E232" s="7" t="s">
        <v>19</v>
      </c>
      <c r="F232" s="7" t="s">
        <v>106</v>
      </c>
      <c r="G232" s="7">
        <v>3</v>
      </c>
      <c r="H232" s="9">
        <v>180</v>
      </c>
      <c r="I232" s="10">
        <v>0.10000000000000001</v>
      </c>
      <c r="J232" s="7" t="s">
        <v>83</v>
      </c>
      <c r="K232" s="7" t="s">
        <v>65</v>
      </c>
      <c r="L232" s="7" t="s">
        <v>66</v>
      </c>
      <c r="M232" s="11">
        <f t="shared" si="22"/>
        <v>486</v>
      </c>
      <c r="N232" t="str">
        <f t="shared" si="23"/>
        <v>May</v>
      </c>
      <c r="O232">
        <f t="shared" si="24"/>
        <v>2</v>
      </c>
      <c r="P232">
        <f>VLOOKUP(F232,Products!A:C,3,FALSE)</f>
        <v>112</v>
      </c>
      <c r="Q232" s="12">
        <f t="shared" si="25"/>
        <v>150</v>
      </c>
    </row>
    <row r="233" ht="15">
      <c r="A233" s="7" t="s">
        <v>325</v>
      </c>
      <c r="B233" s="8">
        <v>45797</v>
      </c>
      <c r="C233" s="7" t="s">
        <v>33</v>
      </c>
      <c r="D233" s="7" t="s">
        <v>102</v>
      </c>
      <c r="E233" s="7" t="s">
        <v>24</v>
      </c>
      <c r="F233" s="7" t="s">
        <v>26</v>
      </c>
      <c r="G233" s="7">
        <v>2</v>
      </c>
      <c r="H233" s="9">
        <v>3100</v>
      </c>
      <c r="I233" s="10">
        <v>5.0000000000000003e-002</v>
      </c>
      <c r="J233" s="7" t="s">
        <v>103</v>
      </c>
      <c r="K233" s="7" t="s">
        <v>71</v>
      </c>
      <c r="L233" s="7" t="s">
        <v>74</v>
      </c>
      <c r="M233" s="11">
        <f t="shared" si="22"/>
        <v>5890</v>
      </c>
      <c r="N233" t="str">
        <f t="shared" si="23"/>
        <v>May</v>
      </c>
      <c r="O233">
        <f t="shared" si="24"/>
        <v>2</v>
      </c>
      <c r="P233">
        <f>VLOOKUP(F233,Products!A:C,3,FALSE)</f>
        <v>1922</v>
      </c>
      <c r="Q233" s="12">
        <f t="shared" si="25"/>
        <v>2046</v>
      </c>
    </row>
    <row r="234" ht="15">
      <c r="A234" s="7" t="s">
        <v>326</v>
      </c>
      <c r="B234" s="8">
        <v>45797</v>
      </c>
      <c r="C234" s="7" t="s">
        <v>18</v>
      </c>
      <c r="D234" s="7" t="s">
        <v>63</v>
      </c>
      <c r="E234" s="7" t="s">
        <v>19</v>
      </c>
      <c r="F234" s="7" t="s">
        <v>73</v>
      </c>
      <c r="G234" s="7">
        <v>2</v>
      </c>
      <c r="H234" s="9">
        <v>650</v>
      </c>
      <c r="I234" s="10">
        <v>0.14999999999999999</v>
      </c>
      <c r="J234" s="7" t="s">
        <v>93</v>
      </c>
      <c r="K234" s="7" t="s">
        <v>71</v>
      </c>
      <c r="L234" s="7" t="s">
        <v>90</v>
      </c>
      <c r="M234" s="11">
        <f t="shared" si="22"/>
        <v>1105</v>
      </c>
      <c r="N234" t="str">
        <f t="shared" si="23"/>
        <v>May</v>
      </c>
      <c r="O234">
        <f t="shared" si="24"/>
        <v>2</v>
      </c>
      <c r="P234">
        <f>VLOOKUP(F234,Products!A:C,3,FALSE)</f>
        <v>403</v>
      </c>
      <c r="Q234" s="12">
        <f t="shared" si="25"/>
        <v>299</v>
      </c>
    </row>
    <row r="235" ht="15">
      <c r="A235" s="7" t="s">
        <v>327</v>
      </c>
      <c r="B235" s="8">
        <v>45797</v>
      </c>
      <c r="C235" s="7" t="s">
        <v>40</v>
      </c>
      <c r="D235" s="7" t="s">
        <v>80</v>
      </c>
      <c r="E235" s="7" t="s">
        <v>29</v>
      </c>
      <c r="F235" s="7" t="s">
        <v>81</v>
      </c>
      <c r="G235" s="7">
        <v>3</v>
      </c>
      <c r="H235" s="9">
        <v>1900</v>
      </c>
      <c r="I235" s="10">
        <v>0.14999999999999999</v>
      </c>
      <c r="J235" s="7" t="s">
        <v>70</v>
      </c>
      <c r="K235" s="7" t="s">
        <v>65</v>
      </c>
      <c r="L235" s="7" t="s">
        <v>78</v>
      </c>
      <c r="M235" s="11">
        <f t="shared" si="22"/>
        <v>4845</v>
      </c>
      <c r="N235" t="str">
        <f t="shared" si="23"/>
        <v>May</v>
      </c>
      <c r="O235">
        <f t="shared" si="24"/>
        <v>2</v>
      </c>
      <c r="P235">
        <f>VLOOKUP(F235,Products!A:C,3,FALSE)</f>
        <v>1178</v>
      </c>
      <c r="Q235" s="12">
        <f t="shared" si="25"/>
        <v>1311</v>
      </c>
    </row>
    <row r="236" ht="15">
      <c r="A236" s="7" t="s">
        <v>328</v>
      </c>
      <c r="B236" s="8">
        <v>45798</v>
      </c>
      <c r="C236" s="7" t="s">
        <v>23</v>
      </c>
      <c r="D236" s="7" t="s">
        <v>95</v>
      </c>
      <c r="E236" s="7" t="s">
        <v>34</v>
      </c>
      <c r="F236" s="7" t="s">
        <v>86</v>
      </c>
      <c r="G236" s="7">
        <v>30</v>
      </c>
      <c r="H236" s="9">
        <v>210</v>
      </c>
      <c r="I236" s="10">
        <v>0.10000000000000001</v>
      </c>
      <c r="J236" s="7" t="s">
        <v>89</v>
      </c>
      <c r="K236" s="7" t="s">
        <v>65</v>
      </c>
      <c r="L236" s="7" t="s">
        <v>66</v>
      </c>
      <c r="M236" s="11">
        <f t="shared" si="22"/>
        <v>5670</v>
      </c>
      <c r="N236" t="str">
        <f t="shared" si="23"/>
        <v>May</v>
      </c>
      <c r="O236">
        <f t="shared" si="24"/>
        <v>2</v>
      </c>
      <c r="P236">
        <f>VLOOKUP(F236,Products!A:C,3,FALSE)</f>
        <v>130</v>
      </c>
      <c r="Q236" s="12">
        <f t="shared" si="25"/>
        <v>1770</v>
      </c>
    </row>
    <row r="237" ht="15">
      <c r="A237" s="7" t="s">
        <v>329</v>
      </c>
      <c r="B237" s="8">
        <v>45799</v>
      </c>
      <c r="C237" s="7" t="s">
        <v>28</v>
      </c>
      <c r="D237" s="7" t="s">
        <v>112</v>
      </c>
      <c r="E237" s="7" t="s">
        <v>29</v>
      </c>
      <c r="F237" s="7" t="s">
        <v>81</v>
      </c>
      <c r="G237" s="7">
        <v>1</v>
      </c>
      <c r="H237" s="9">
        <v>1900</v>
      </c>
      <c r="I237" s="10">
        <v>0.14999999999999999</v>
      </c>
      <c r="J237" s="7" t="s">
        <v>103</v>
      </c>
      <c r="K237" s="7" t="s">
        <v>71</v>
      </c>
      <c r="L237" s="7" t="s">
        <v>90</v>
      </c>
      <c r="M237" s="11">
        <f t="shared" si="22"/>
        <v>1615</v>
      </c>
      <c r="N237" t="str">
        <f t="shared" si="23"/>
        <v>May</v>
      </c>
      <c r="O237">
        <f t="shared" si="24"/>
        <v>2</v>
      </c>
      <c r="P237">
        <f>VLOOKUP(F237,Products!A:C,3,FALSE)</f>
        <v>1178</v>
      </c>
      <c r="Q237" s="12">
        <f t="shared" si="25"/>
        <v>437</v>
      </c>
    </row>
    <row r="238" ht="15">
      <c r="A238" s="7" t="s">
        <v>330</v>
      </c>
      <c r="B238" s="8">
        <v>45799</v>
      </c>
      <c r="C238" s="7" t="s">
        <v>36</v>
      </c>
      <c r="D238" s="7" t="s">
        <v>76</v>
      </c>
      <c r="E238" s="7" t="s">
        <v>34</v>
      </c>
      <c r="F238" s="7" t="s">
        <v>86</v>
      </c>
      <c r="G238" s="7">
        <v>9</v>
      </c>
      <c r="H238" s="9">
        <v>210</v>
      </c>
      <c r="I238" s="10">
        <v>0.10000000000000001</v>
      </c>
      <c r="J238" s="7" t="s">
        <v>70</v>
      </c>
      <c r="K238" s="7" t="s">
        <v>65</v>
      </c>
      <c r="L238" s="7" t="s">
        <v>90</v>
      </c>
      <c r="M238" s="11">
        <f t="shared" si="22"/>
        <v>1701</v>
      </c>
      <c r="N238" t="str">
        <f t="shared" si="23"/>
        <v>May</v>
      </c>
      <c r="O238">
        <f t="shared" si="24"/>
        <v>2</v>
      </c>
      <c r="P238">
        <f>VLOOKUP(F238,Products!A:C,3,FALSE)</f>
        <v>130</v>
      </c>
      <c r="Q238" s="12">
        <f t="shared" si="25"/>
        <v>531</v>
      </c>
    </row>
    <row r="239" ht="15">
      <c r="A239" s="7" t="s">
        <v>331</v>
      </c>
      <c r="B239" s="8">
        <v>45799</v>
      </c>
      <c r="C239" s="7" t="s">
        <v>40</v>
      </c>
      <c r="D239" s="7" t="s">
        <v>85</v>
      </c>
      <c r="E239" s="7" t="s">
        <v>19</v>
      </c>
      <c r="F239" s="7" t="s">
        <v>77</v>
      </c>
      <c r="G239" s="7">
        <v>3</v>
      </c>
      <c r="H239" s="9">
        <v>520</v>
      </c>
      <c r="I239" s="10">
        <v>0</v>
      </c>
      <c r="J239" s="7" t="s">
        <v>93</v>
      </c>
      <c r="K239" s="7" t="s">
        <v>65</v>
      </c>
      <c r="L239" s="7" t="s">
        <v>74</v>
      </c>
      <c r="M239" s="11">
        <f t="shared" si="22"/>
        <v>1560</v>
      </c>
      <c r="N239" t="str">
        <f t="shared" si="23"/>
        <v>May</v>
      </c>
      <c r="O239">
        <f t="shared" si="24"/>
        <v>2</v>
      </c>
      <c r="P239">
        <f>VLOOKUP(F239,Products!A:C,3,FALSE)</f>
        <v>322</v>
      </c>
      <c r="Q239" s="12">
        <f t="shared" si="25"/>
        <v>594</v>
      </c>
    </row>
    <row r="240" ht="15">
      <c r="A240" s="7" t="s">
        <v>332</v>
      </c>
      <c r="B240" s="8">
        <v>45800</v>
      </c>
      <c r="C240" s="7" t="s">
        <v>23</v>
      </c>
      <c r="D240" s="7" t="s">
        <v>105</v>
      </c>
      <c r="E240" s="7" t="s">
        <v>34</v>
      </c>
      <c r="F240" s="7" t="s">
        <v>92</v>
      </c>
      <c r="G240" s="7">
        <v>8</v>
      </c>
      <c r="H240" s="9">
        <v>85</v>
      </c>
      <c r="I240" s="10">
        <v>0</v>
      </c>
      <c r="J240" s="7" t="s">
        <v>103</v>
      </c>
      <c r="K240" s="7" t="s">
        <v>65</v>
      </c>
      <c r="L240" s="7" t="s">
        <v>90</v>
      </c>
      <c r="M240" s="11">
        <f t="shared" si="22"/>
        <v>680</v>
      </c>
      <c r="N240" t="str">
        <f t="shared" si="23"/>
        <v>May</v>
      </c>
      <c r="O240">
        <f t="shared" si="24"/>
        <v>2</v>
      </c>
      <c r="P240">
        <f>VLOOKUP(F240,Products!A:C,3,FALSE)</f>
        <v>53</v>
      </c>
      <c r="Q240" s="12">
        <f t="shared" si="25"/>
        <v>256</v>
      </c>
    </row>
    <row r="241" ht="15">
      <c r="A241" s="7" t="s">
        <v>333</v>
      </c>
      <c r="B241" s="8">
        <v>45800</v>
      </c>
      <c r="C241" s="7" t="s">
        <v>40</v>
      </c>
      <c r="D241" s="7" t="s">
        <v>98</v>
      </c>
      <c r="E241" s="7" t="s">
        <v>24</v>
      </c>
      <c r="F241" s="7" t="s">
        <v>38</v>
      </c>
      <c r="G241" s="7">
        <v>4</v>
      </c>
      <c r="H241" s="9">
        <v>12500</v>
      </c>
      <c r="I241" s="10">
        <v>5.0000000000000003e-002</v>
      </c>
      <c r="J241" s="7" t="s">
        <v>103</v>
      </c>
      <c r="K241" s="7" t="s">
        <v>71</v>
      </c>
      <c r="L241" s="7" t="s">
        <v>90</v>
      </c>
      <c r="M241" s="11">
        <f t="shared" si="22"/>
        <v>47500</v>
      </c>
      <c r="N241" t="str">
        <f t="shared" si="23"/>
        <v>May</v>
      </c>
      <c r="O241">
        <f t="shared" si="24"/>
        <v>2</v>
      </c>
      <c r="P241">
        <f>VLOOKUP(F241,Products!A:C,3,FALSE)</f>
        <v>7750</v>
      </c>
      <c r="Q241" s="12">
        <f t="shared" si="25"/>
        <v>16500</v>
      </c>
    </row>
    <row r="242" ht="15">
      <c r="A242" s="7" t="s">
        <v>334</v>
      </c>
      <c r="B242" s="8">
        <v>45800</v>
      </c>
      <c r="C242" s="7" t="s">
        <v>28</v>
      </c>
      <c r="D242" s="7" t="s">
        <v>112</v>
      </c>
      <c r="E242" s="7" t="s">
        <v>24</v>
      </c>
      <c r="F242" s="7" t="s">
        <v>96</v>
      </c>
      <c r="G242" s="7">
        <v>3</v>
      </c>
      <c r="H242" s="9">
        <v>1450</v>
      </c>
      <c r="I242" s="10">
        <v>0</v>
      </c>
      <c r="J242" s="7" t="s">
        <v>93</v>
      </c>
      <c r="K242" s="7" t="s">
        <v>65</v>
      </c>
      <c r="L242" s="7" t="s">
        <v>66</v>
      </c>
      <c r="M242" s="11">
        <f t="shared" si="22"/>
        <v>4350</v>
      </c>
      <c r="N242" t="str">
        <f t="shared" si="23"/>
        <v>May</v>
      </c>
      <c r="O242">
        <f t="shared" si="24"/>
        <v>2</v>
      </c>
      <c r="P242">
        <f>VLOOKUP(F242,Products!A:C,3,FALSE)</f>
        <v>899</v>
      </c>
      <c r="Q242" s="12">
        <f t="shared" si="25"/>
        <v>1653</v>
      </c>
    </row>
    <row r="243" ht="15">
      <c r="A243" s="7" t="s">
        <v>335</v>
      </c>
      <c r="B243" s="8">
        <v>45800</v>
      </c>
      <c r="C243" s="7" t="s">
        <v>40</v>
      </c>
      <c r="D243" s="7" t="s">
        <v>80</v>
      </c>
      <c r="E243" s="7" t="s">
        <v>24</v>
      </c>
      <c r="F243" s="7" t="s">
        <v>26</v>
      </c>
      <c r="G243" s="7">
        <v>2</v>
      </c>
      <c r="H243" s="9">
        <v>3100</v>
      </c>
      <c r="I243" s="10">
        <v>0</v>
      </c>
      <c r="J243" s="7" t="s">
        <v>70</v>
      </c>
      <c r="K243" s="7" t="s">
        <v>65</v>
      </c>
      <c r="L243" s="7" t="s">
        <v>74</v>
      </c>
      <c r="M243" s="11">
        <f t="shared" si="22"/>
        <v>6200</v>
      </c>
      <c r="N243" t="str">
        <f t="shared" si="23"/>
        <v>May</v>
      </c>
      <c r="O243">
        <f t="shared" si="24"/>
        <v>2</v>
      </c>
      <c r="P243">
        <f>VLOOKUP(F243,Products!A:C,3,FALSE)</f>
        <v>1922</v>
      </c>
      <c r="Q243" s="12">
        <f t="shared" si="25"/>
        <v>2356</v>
      </c>
    </row>
    <row r="244" ht="15">
      <c r="A244" s="7" t="s">
        <v>336</v>
      </c>
      <c r="B244" s="8">
        <v>45802</v>
      </c>
      <c r="C244" s="7" t="s">
        <v>36</v>
      </c>
      <c r="D244" s="7" t="s">
        <v>114</v>
      </c>
      <c r="E244" s="7" t="s">
        <v>29</v>
      </c>
      <c r="F244" s="7" t="s">
        <v>21</v>
      </c>
      <c r="G244" s="7">
        <v>1</v>
      </c>
      <c r="H244" s="9">
        <v>3600</v>
      </c>
      <c r="I244" s="10">
        <v>0</v>
      </c>
      <c r="J244" s="7" t="s">
        <v>70</v>
      </c>
      <c r="K244" s="7" t="s">
        <v>65</v>
      </c>
      <c r="L244" s="7" t="s">
        <v>74</v>
      </c>
      <c r="M244" s="11">
        <f t="shared" si="22"/>
        <v>3600</v>
      </c>
      <c r="N244" t="str">
        <f t="shared" si="23"/>
        <v>May</v>
      </c>
      <c r="O244">
        <f t="shared" si="24"/>
        <v>2</v>
      </c>
      <c r="P244">
        <f>VLOOKUP(F244,Products!A:C,3,FALSE)</f>
        <v>2232</v>
      </c>
      <c r="Q244" s="12">
        <f t="shared" si="25"/>
        <v>1368</v>
      </c>
    </row>
    <row r="245" ht="15">
      <c r="A245" s="7" t="s">
        <v>337</v>
      </c>
      <c r="B245" s="8">
        <v>45803</v>
      </c>
      <c r="C245" s="7" t="s">
        <v>36</v>
      </c>
      <c r="D245" s="7" t="s">
        <v>114</v>
      </c>
      <c r="E245" s="7" t="s">
        <v>34</v>
      </c>
      <c r="F245" s="7" t="s">
        <v>69</v>
      </c>
      <c r="G245" s="7">
        <v>5</v>
      </c>
      <c r="H245" s="9">
        <v>120</v>
      </c>
      <c r="I245" s="10">
        <v>0.14999999999999999</v>
      </c>
      <c r="J245" s="7" t="s">
        <v>93</v>
      </c>
      <c r="K245" s="7" t="s">
        <v>71</v>
      </c>
      <c r="L245" s="7" t="s">
        <v>90</v>
      </c>
      <c r="M245" s="11">
        <f t="shared" si="22"/>
        <v>510</v>
      </c>
      <c r="N245" t="str">
        <f t="shared" si="23"/>
        <v>May</v>
      </c>
      <c r="O245">
        <f t="shared" si="24"/>
        <v>2</v>
      </c>
      <c r="P245">
        <f>VLOOKUP(F245,Products!A:C,3,FALSE)</f>
        <v>74</v>
      </c>
      <c r="Q245" s="12">
        <f t="shared" si="25"/>
        <v>140</v>
      </c>
    </row>
    <row r="246" ht="15">
      <c r="A246" s="7" t="s">
        <v>338</v>
      </c>
      <c r="B246" s="8">
        <v>45804</v>
      </c>
      <c r="C246" s="7" t="s">
        <v>40</v>
      </c>
      <c r="D246" s="7" t="s">
        <v>98</v>
      </c>
      <c r="E246" s="7" t="s">
        <v>19</v>
      </c>
      <c r="F246" s="7" t="s">
        <v>73</v>
      </c>
      <c r="G246" s="7">
        <v>2</v>
      </c>
      <c r="H246" s="9">
        <v>650</v>
      </c>
      <c r="I246" s="10">
        <v>5.0000000000000003e-002</v>
      </c>
      <c r="J246" s="7" t="s">
        <v>103</v>
      </c>
      <c r="K246" s="7" t="s">
        <v>71</v>
      </c>
      <c r="L246" s="7" t="s">
        <v>78</v>
      </c>
      <c r="M246" s="11">
        <f t="shared" si="22"/>
        <v>1235</v>
      </c>
      <c r="N246" t="str">
        <f t="shared" si="23"/>
        <v>May</v>
      </c>
      <c r="O246">
        <f t="shared" si="24"/>
        <v>2</v>
      </c>
      <c r="P246">
        <f>VLOOKUP(F246,Products!A:C,3,FALSE)</f>
        <v>403</v>
      </c>
      <c r="Q246" s="12">
        <f t="shared" si="25"/>
        <v>429</v>
      </c>
    </row>
    <row r="247" ht="15">
      <c r="A247" s="7" t="s">
        <v>339</v>
      </c>
      <c r="B247" s="8">
        <v>45805</v>
      </c>
      <c r="C247" s="7" t="s">
        <v>40</v>
      </c>
      <c r="D247" s="7" t="s">
        <v>85</v>
      </c>
      <c r="E247" s="7" t="s">
        <v>24</v>
      </c>
      <c r="F247" s="7" t="s">
        <v>35</v>
      </c>
      <c r="G247" s="7">
        <v>2</v>
      </c>
      <c r="H247" s="9">
        <v>8200</v>
      </c>
      <c r="I247" s="10">
        <v>5.0000000000000003e-002</v>
      </c>
      <c r="J247" s="7" t="s">
        <v>64</v>
      </c>
      <c r="K247" s="7" t="s">
        <v>65</v>
      </c>
      <c r="L247" s="7" t="s">
        <v>74</v>
      </c>
      <c r="M247" s="11">
        <f t="shared" si="22"/>
        <v>15580</v>
      </c>
      <c r="N247" t="str">
        <f t="shared" si="23"/>
        <v>May</v>
      </c>
      <c r="O247">
        <f t="shared" si="24"/>
        <v>2</v>
      </c>
      <c r="P247">
        <f>VLOOKUP(F247,Products!A:C,3,FALSE)</f>
        <v>5084</v>
      </c>
      <c r="Q247" s="12">
        <f t="shared" si="25"/>
        <v>5412</v>
      </c>
    </row>
    <row r="248" ht="15">
      <c r="A248" s="7" t="s">
        <v>340</v>
      </c>
      <c r="B248" s="8">
        <v>45805</v>
      </c>
      <c r="C248" s="7" t="s">
        <v>33</v>
      </c>
      <c r="D248" s="7" t="s">
        <v>102</v>
      </c>
      <c r="E248" s="7" t="s">
        <v>24</v>
      </c>
      <c r="F248" s="7" t="s">
        <v>35</v>
      </c>
      <c r="G248" s="7">
        <v>2</v>
      </c>
      <c r="H248" s="9">
        <v>8200</v>
      </c>
      <c r="I248" s="10">
        <v>5.0000000000000003e-002</v>
      </c>
      <c r="J248" s="7" t="s">
        <v>93</v>
      </c>
      <c r="K248" s="7" t="s">
        <v>71</v>
      </c>
      <c r="L248" s="7" t="s">
        <v>74</v>
      </c>
      <c r="M248" s="11">
        <f t="shared" si="22"/>
        <v>15580</v>
      </c>
      <c r="N248" t="str">
        <f t="shared" si="23"/>
        <v>May</v>
      </c>
      <c r="O248">
        <f t="shared" si="24"/>
        <v>2</v>
      </c>
      <c r="P248">
        <f>VLOOKUP(F248,Products!A:C,3,FALSE)</f>
        <v>5084</v>
      </c>
      <c r="Q248" s="12">
        <f t="shared" si="25"/>
        <v>5412</v>
      </c>
    </row>
    <row r="249" ht="15">
      <c r="A249" s="7" t="s">
        <v>341</v>
      </c>
      <c r="B249" s="8">
        <v>45807</v>
      </c>
      <c r="C249" s="7" t="s">
        <v>36</v>
      </c>
      <c r="D249" s="7" t="s">
        <v>76</v>
      </c>
      <c r="E249" s="7" t="s">
        <v>29</v>
      </c>
      <c r="F249" s="7" t="s">
        <v>21</v>
      </c>
      <c r="G249" s="7">
        <v>2</v>
      </c>
      <c r="H249" s="9">
        <v>3600</v>
      </c>
      <c r="I249" s="10">
        <v>0</v>
      </c>
      <c r="J249" s="7" t="s">
        <v>103</v>
      </c>
      <c r="K249" s="7" t="s">
        <v>65</v>
      </c>
      <c r="L249" s="7" t="s">
        <v>78</v>
      </c>
      <c r="M249" s="11">
        <f t="shared" si="22"/>
        <v>7200</v>
      </c>
      <c r="N249" t="str">
        <f t="shared" si="23"/>
        <v>May</v>
      </c>
      <c r="O249">
        <f t="shared" si="24"/>
        <v>2</v>
      </c>
      <c r="P249">
        <f>VLOOKUP(F249,Products!A:C,3,FALSE)</f>
        <v>2232</v>
      </c>
      <c r="Q249" s="12">
        <f t="shared" si="25"/>
        <v>2736</v>
      </c>
    </row>
    <row r="250" ht="15">
      <c r="A250" s="7" t="s">
        <v>342</v>
      </c>
      <c r="B250" s="8">
        <v>45808</v>
      </c>
      <c r="C250" s="7" t="s">
        <v>36</v>
      </c>
      <c r="D250" s="7" t="s">
        <v>76</v>
      </c>
      <c r="E250" s="7" t="s">
        <v>34</v>
      </c>
      <c r="F250" s="7" t="s">
        <v>92</v>
      </c>
      <c r="G250" s="7">
        <v>32</v>
      </c>
      <c r="H250" s="9">
        <v>85</v>
      </c>
      <c r="I250" s="10">
        <v>0</v>
      </c>
      <c r="J250" s="7" t="s">
        <v>64</v>
      </c>
      <c r="K250" s="7" t="s">
        <v>65</v>
      </c>
      <c r="L250" s="7" t="s">
        <v>78</v>
      </c>
      <c r="M250" s="11">
        <f t="shared" si="22"/>
        <v>2720</v>
      </c>
      <c r="N250" t="str">
        <f t="shared" si="23"/>
        <v>May</v>
      </c>
      <c r="O250">
        <f t="shared" si="24"/>
        <v>2</v>
      </c>
      <c r="P250">
        <f>VLOOKUP(F250,Products!A:C,3,FALSE)</f>
        <v>53</v>
      </c>
      <c r="Q250" s="12">
        <f t="shared" si="25"/>
        <v>1024</v>
      </c>
    </row>
    <row r="251" ht="15">
      <c r="A251" s="7" t="s">
        <v>343</v>
      </c>
      <c r="B251" s="8">
        <v>45809</v>
      </c>
      <c r="C251" s="7" t="s">
        <v>33</v>
      </c>
      <c r="D251" s="7" t="s">
        <v>68</v>
      </c>
      <c r="E251" s="7" t="s">
        <v>24</v>
      </c>
      <c r="F251" s="7" t="s">
        <v>96</v>
      </c>
      <c r="G251" s="7">
        <v>1</v>
      </c>
      <c r="H251" s="9">
        <v>1450</v>
      </c>
      <c r="I251" s="10">
        <v>0.14999999999999999</v>
      </c>
      <c r="J251" s="7" t="s">
        <v>93</v>
      </c>
      <c r="K251" s="7" t="s">
        <v>65</v>
      </c>
      <c r="L251" s="7" t="s">
        <v>74</v>
      </c>
      <c r="M251" s="11">
        <f t="shared" si="22"/>
        <v>1232.5</v>
      </c>
      <c r="N251" t="str">
        <f t="shared" si="23"/>
        <v>Jun</v>
      </c>
      <c r="O251">
        <f t="shared" si="24"/>
        <v>2</v>
      </c>
      <c r="P251">
        <f>VLOOKUP(F251,Products!A:C,3,FALSE)</f>
        <v>899</v>
      </c>
      <c r="Q251" s="12">
        <f t="shared" si="25"/>
        <v>333.5</v>
      </c>
    </row>
    <row r="252" ht="15">
      <c r="A252" s="7" t="s">
        <v>344</v>
      </c>
      <c r="B252" s="8">
        <v>45809</v>
      </c>
      <c r="C252" s="7" t="s">
        <v>33</v>
      </c>
      <c r="D252" s="7" t="s">
        <v>102</v>
      </c>
      <c r="E252" s="7" t="s">
        <v>19</v>
      </c>
      <c r="F252" s="7" t="s">
        <v>73</v>
      </c>
      <c r="G252" s="7">
        <v>2</v>
      </c>
      <c r="H252" s="9">
        <v>650</v>
      </c>
      <c r="I252" s="10">
        <v>5.0000000000000003e-002</v>
      </c>
      <c r="J252" s="7" t="s">
        <v>70</v>
      </c>
      <c r="K252" s="7" t="s">
        <v>65</v>
      </c>
      <c r="L252" s="7" t="s">
        <v>90</v>
      </c>
      <c r="M252" s="11">
        <f t="shared" si="22"/>
        <v>1235</v>
      </c>
      <c r="N252" t="str">
        <f t="shared" si="23"/>
        <v>Jun</v>
      </c>
      <c r="O252">
        <f t="shared" si="24"/>
        <v>2</v>
      </c>
      <c r="P252">
        <f>VLOOKUP(F252,Products!A:C,3,FALSE)</f>
        <v>403</v>
      </c>
      <c r="Q252" s="12">
        <f t="shared" si="25"/>
        <v>429</v>
      </c>
    </row>
    <row r="253" ht="15">
      <c r="A253" s="7" t="s">
        <v>345</v>
      </c>
      <c r="B253" s="8">
        <v>45809</v>
      </c>
      <c r="C253" s="7" t="s">
        <v>33</v>
      </c>
      <c r="D253" s="7" t="s">
        <v>102</v>
      </c>
      <c r="E253" s="7" t="s">
        <v>34</v>
      </c>
      <c r="F253" s="7" t="s">
        <v>86</v>
      </c>
      <c r="G253" s="7">
        <v>28</v>
      </c>
      <c r="H253" s="9">
        <v>210</v>
      </c>
      <c r="I253" s="10">
        <v>0</v>
      </c>
      <c r="J253" s="7" t="s">
        <v>64</v>
      </c>
      <c r="K253" s="7" t="s">
        <v>65</v>
      </c>
      <c r="L253" s="7" t="s">
        <v>90</v>
      </c>
      <c r="M253" s="11">
        <f t="shared" si="22"/>
        <v>5880</v>
      </c>
      <c r="N253" t="str">
        <f t="shared" si="23"/>
        <v>Jun</v>
      </c>
      <c r="O253">
        <f t="shared" si="24"/>
        <v>2</v>
      </c>
      <c r="P253">
        <f>VLOOKUP(F253,Products!A:C,3,FALSE)</f>
        <v>130</v>
      </c>
      <c r="Q253" s="12">
        <f t="shared" si="25"/>
        <v>2240</v>
      </c>
    </row>
    <row r="254" ht="15">
      <c r="A254" s="7" t="s">
        <v>346</v>
      </c>
      <c r="B254" s="8">
        <v>45809</v>
      </c>
      <c r="C254" s="7" t="s">
        <v>33</v>
      </c>
      <c r="D254" s="7" t="s">
        <v>102</v>
      </c>
      <c r="E254" s="7" t="s">
        <v>29</v>
      </c>
      <c r="F254" s="7" t="s">
        <v>120</v>
      </c>
      <c r="G254" s="7">
        <v>4</v>
      </c>
      <c r="H254" s="9">
        <v>2300</v>
      </c>
      <c r="I254" s="10">
        <v>0</v>
      </c>
      <c r="J254" s="7" t="s">
        <v>103</v>
      </c>
      <c r="K254" s="7" t="s">
        <v>65</v>
      </c>
      <c r="L254" s="7" t="s">
        <v>78</v>
      </c>
      <c r="M254" s="11">
        <f t="shared" si="22"/>
        <v>9200</v>
      </c>
      <c r="N254" t="str">
        <f t="shared" si="23"/>
        <v>Jun</v>
      </c>
      <c r="O254">
        <f t="shared" si="24"/>
        <v>2</v>
      </c>
      <c r="P254">
        <f>VLOOKUP(F254,Products!A:C,3,FALSE)</f>
        <v>1426</v>
      </c>
      <c r="Q254" s="12">
        <f t="shared" si="25"/>
        <v>3496</v>
      </c>
    </row>
    <row r="255" ht="15">
      <c r="A255" s="7" t="s">
        <v>347</v>
      </c>
      <c r="B255" s="8">
        <v>45810</v>
      </c>
      <c r="C255" s="7" t="s">
        <v>40</v>
      </c>
      <c r="D255" s="7" t="s">
        <v>98</v>
      </c>
      <c r="E255" s="7" t="s">
        <v>24</v>
      </c>
      <c r="F255" s="7" t="s">
        <v>26</v>
      </c>
      <c r="G255" s="7">
        <v>4</v>
      </c>
      <c r="H255" s="9">
        <v>3100</v>
      </c>
      <c r="I255" s="10">
        <v>0.10000000000000001</v>
      </c>
      <c r="J255" s="7" t="s">
        <v>93</v>
      </c>
      <c r="K255" s="7" t="s">
        <v>65</v>
      </c>
      <c r="L255" s="7" t="s">
        <v>90</v>
      </c>
      <c r="M255" s="11">
        <f t="shared" si="22"/>
        <v>11160</v>
      </c>
      <c r="N255" t="str">
        <f t="shared" si="23"/>
        <v>Jun</v>
      </c>
      <c r="O255">
        <f t="shared" si="24"/>
        <v>2</v>
      </c>
      <c r="P255">
        <f>VLOOKUP(F255,Products!A:C,3,FALSE)</f>
        <v>1922</v>
      </c>
      <c r="Q255" s="12">
        <f t="shared" si="25"/>
        <v>3472</v>
      </c>
    </row>
    <row r="256" ht="15">
      <c r="A256" s="7" t="s">
        <v>348</v>
      </c>
      <c r="B256" s="8">
        <v>45810</v>
      </c>
      <c r="C256" s="7" t="s">
        <v>36</v>
      </c>
      <c r="D256" s="7" t="s">
        <v>114</v>
      </c>
      <c r="E256" s="7" t="s">
        <v>29</v>
      </c>
      <c r="F256" s="7" t="s">
        <v>21</v>
      </c>
      <c r="G256" s="7">
        <v>2</v>
      </c>
      <c r="H256" s="9">
        <v>3600</v>
      </c>
      <c r="I256" s="10">
        <v>0</v>
      </c>
      <c r="J256" s="7" t="s">
        <v>103</v>
      </c>
      <c r="K256" s="7" t="s">
        <v>65</v>
      </c>
      <c r="L256" s="7" t="s">
        <v>74</v>
      </c>
      <c r="M256" s="11">
        <f t="shared" si="22"/>
        <v>7200</v>
      </c>
      <c r="N256" t="str">
        <f t="shared" si="23"/>
        <v>Jun</v>
      </c>
      <c r="O256">
        <f t="shared" si="24"/>
        <v>2</v>
      </c>
      <c r="P256">
        <f>VLOOKUP(F256,Products!A:C,3,FALSE)</f>
        <v>2232</v>
      </c>
      <c r="Q256" s="12">
        <f t="shared" si="25"/>
        <v>2736</v>
      </c>
    </row>
    <row r="257" ht="15">
      <c r="A257" s="7" t="s">
        <v>349</v>
      </c>
      <c r="B257" s="8">
        <v>45810</v>
      </c>
      <c r="C257" s="7" t="s">
        <v>40</v>
      </c>
      <c r="D257" s="7" t="s">
        <v>85</v>
      </c>
      <c r="E257" s="7" t="s">
        <v>19</v>
      </c>
      <c r="F257" s="7" t="s">
        <v>106</v>
      </c>
      <c r="G257" s="7">
        <v>4</v>
      </c>
      <c r="H257" s="9">
        <v>180</v>
      </c>
      <c r="I257" s="10">
        <v>0.10000000000000001</v>
      </c>
      <c r="J257" s="7" t="s">
        <v>89</v>
      </c>
      <c r="K257" s="7" t="s">
        <v>71</v>
      </c>
      <c r="L257" s="7" t="s">
        <v>78</v>
      </c>
      <c r="M257" s="11">
        <f t="shared" si="22"/>
        <v>648</v>
      </c>
      <c r="N257" t="str">
        <f t="shared" si="23"/>
        <v>Jun</v>
      </c>
      <c r="O257">
        <f t="shared" si="24"/>
        <v>2</v>
      </c>
      <c r="P257">
        <f>VLOOKUP(F257,Products!A:C,3,FALSE)</f>
        <v>112</v>
      </c>
      <c r="Q257" s="12">
        <f t="shared" si="25"/>
        <v>200</v>
      </c>
    </row>
    <row r="258" ht="15">
      <c r="A258" s="7" t="s">
        <v>350</v>
      </c>
      <c r="B258" s="8">
        <v>45811</v>
      </c>
      <c r="C258" s="7" t="s">
        <v>36</v>
      </c>
      <c r="D258" s="7" t="s">
        <v>114</v>
      </c>
      <c r="E258" s="7" t="s">
        <v>24</v>
      </c>
      <c r="F258" s="7" t="s">
        <v>26</v>
      </c>
      <c r="G258" s="7">
        <v>1</v>
      </c>
      <c r="H258" s="9">
        <v>3100</v>
      </c>
      <c r="I258" s="10">
        <v>0</v>
      </c>
      <c r="J258" s="7" t="s">
        <v>103</v>
      </c>
      <c r="K258" s="7" t="s">
        <v>71</v>
      </c>
      <c r="L258" s="7" t="s">
        <v>78</v>
      </c>
      <c r="M258" s="11">
        <f t="shared" si="22"/>
        <v>3100</v>
      </c>
      <c r="N258" t="str">
        <f t="shared" si="23"/>
        <v>Jun</v>
      </c>
      <c r="O258">
        <f t="shared" si="24"/>
        <v>2</v>
      </c>
      <c r="P258">
        <f>VLOOKUP(F258,Products!A:C,3,FALSE)</f>
        <v>1922</v>
      </c>
      <c r="Q258" s="12">
        <f t="shared" si="25"/>
        <v>1178</v>
      </c>
    </row>
    <row r="259" ht="15">
      <c r="A259" s="7" t="s">
        <v>351</v>
      </c>
      <c r="B259" s="8">
        <v>45811</v>
      </c>
      <c r="C259" s="7" t="s">
        <v>36</v>
      </c>
      <c r="D259" s="7" t="s">
        <v>114</v>
      </c>
      <c r="E259" s="7" t="s">
        <v>29</v>
      </c>
      <c r="F259" s="7" t="s">
        <v>81</v>
      </c>
      <c r="G259" s="7">
        <v>3</v>
      </c>
      <c r="H259" s="9">
        <v>1900</v>
      </c>
      <c r="I259" s="10">
        <v>0.14999999999999999</v>
      </c>
      <c r="J259" s="7" t="s">
        <v>89</v>
      </c>
      <c r="K259" s="7" t="s">
        <v>71</v>
      </c>
      <c r="L259" s="7" t="s">
        <v>74</v>
      </c>
      <c r="M259" s="11">
        <f t="shared" si="22"/>
        <v>4845</v>
      </c>
      <c r="N259" t="str">
        <f t="shared" si="23"/>
        <v>Jun</v>
      </c>
      <c r="O259">
        <f t="shared" si="24"/>
        <v>2</v>
      </c>
      <c r="P259">
        <f>VLOOKUP(F259,Products!A:C,3,FALSE)</f>
        <v>1178</v>
      </c>
      <c r="Q259" s="12">
        <f t="shared" si="25"/>
        <v>1311</v>
      </c>
    </row>
    <row r="260" ht="15">
      <c r="A260" s="7" t="s">
        <v>352</v>
      </c>
      <c r="B260" s="8">
        <v>45811</v>
      </c>
      <c r="C260" s="7" t="s">
        <v>40</v>
      </c>
      <c r="D260" s="7" t="s">
        <v>98</v>
      </c>
      <c r="E260" s="7" t="s">
        <v>24</v>
      </c>
      <c r="F260" s="7" t="s">
        <v>35</v>
      </c>
      <c r="G260" s="7">
        <v>1</v>
      </c>
      <c r="H260" s="9">
        <v>8200</v>
      </c>
      <c r="I260" s="10">
        <v>0</v>
      </c>
      <c r="J260" s="7" t="s">
        <v>70</v>
      </c>
      <c r="K260" s="7" t="s">
        <v>71</v>
      </c>
      <c r="L260" s="7" t="s">
        <v>66</v>
      </c>
      <c r="M260" s="11">
        <f t="shared" si="22"/>
        <v>8200</v>
      </c>
      <c r="N260" t="str">
        <f t="shared" si="23"/>
        <v>Jun</v>
      </c>
      <c r="O260">
        <f t="shared" si="24"/>
        <v>2</v>
      </c>
      <c r="P260">
        <f>VLOOKUP(F260,Products!A:C,3,FALSE)</f>
        <v>5084</v>
      </c>
      <c r="Q260" s="12">
        <f t="shared" si="25"/>
        <v>3116</v>
      </c>
    </row>
    <row r="261" ht="15">
      <c r="A261" s="7" t="s">
        <v>353</v>
      </c>
      <c r="B261" s="8">
        <v>45812</v>
      </c>
      <c r="C261" s="7" t="s">
        <v>40</v>
      </c>
      <c r="D261" s="7" t="s">
        <v>80</v>
      </c>
      <c r="E261" s="7" t="s">
        <v>24</v>
      </c>
      <c r="F261" s="7" t="s">
        <v>31</v>
      </c>
      <c r="G261" s="7">
        <v>3</v>
      </c>
      <c r="H261" s="9">
        <v>5400</v>
      </c>
      <c r="I261" s="10">
        <v>0.14999999999999999</v>
      </c>
      <c r="J261" s="7" t="s">
        <v>103</v>
      </c>
      <c r="K261" s="7" t="s">
        <v>71</v>
      </c>
      <c r="L261" s="7" t="s">
        <v>78</v>
      </c>
      <c r="M261" s="11">
        <f t="shared" si="22"/>
        <v>13770</v>
      </c>
      <c r="N261" t="str">
        <f t="shared" si="23"/>
        <v>Jun</v>
      </c>
      <c r="O261">
        <f t="shared" si="24"/>
        <v>2</v>
      </c>
      <c r="P261">
        <f>VLOOKUP(F261,Products!A:C,3,FALSE)</f>
        <v>3348</v>
      </c>
      <c r="Q261" s="12">
        <f t="shared" si="25"/>
        <v>3726</v>
      </c>
    </row>
    <row r="262" ht="15">
      <c r="A262" s="7" t="s">
        <v>354</v>
      </c>
      <c r="B262" s="8">
        <v>45812</v>
      </c>
      <c r="C262" s="7" t="s">
        <v>23</v>
      </c>
      <c r="D262" s="7" t="s">
        <v>105</v>
      </c>
      <c r="E262" s="7" t="s">
        <v>29</v>
      </c>
      <c r="F262" s="7" t="s">
        <v>120</v>
      </c>
      <c r="G262" s="7">
        <v>1</v>
      </c>
      <c r="H262" s="9">
        <v>2300</v>
      </c>
      <c r="I262" s="10">
        <v>0</v>
      </c>
      <c r="J262" s="7" t="s">
        <v>89</v>
      </c>
      <c r="K262" s="7" t="s">
        <v>71</v>
      </c>
      <c r="L262" s="7" t="s">
        <v>78</v>
      </c>
      <c r="M262" s="11">
        <f t="shared" si="22"/>
        <v>2300</v>
      </c>
      <c r="N262" t="str">
        <f t="shared" si="23"/>
        <v>Jun</v>
      </c>
      <c r="O262">
        <f t="shared" si="24"/>
        <v>2</v>
      </c>
      <c r="P262">
        <f>VLOOKUP(F262,Products!A:C,3,FALSE)</f>
        <v>1426</v>
      </c>
      <c r="Q262" s="12">
        <f t="shared" si="25"/>
        <v>874</v>
      </c>
    </row>
    <row r="263" ht="15">
      <c r="A263" s="7" t="s">
        <v>355</v>
      </c>
      <c r="B263" s="8">
        <v>45813</v>
      </c>
      <c r="C263" s="7" t="s">
        <v>33</v>
      </c>
      <c r="D263" s="7" t="s">
        <v>68</v>
      </c>
      <c r="E263" s="7" t="s">
        <v>29</v>
      </c>
      <c r="F263" s="7" t="s">
        <v>81</v>
      </c>
      <c r="G263" s="7">
        <v>1</v>
      </c>
      <c r="H263" s="9">
        <v>1900</v>
      </c>
      <c r="I263" s="10">
        <v>5.0000000000000003e-002</v>
      </c>
      <c r="J263" s="7" t="s">
        <v>83</v>
      </c>
      <c r="K263" s="7" t="s">
        <v>65</v>
      </c>
      <c r="L263" s="7" t="s">
        <v>74</v>
      </c>
      <c r="M263" s="11">
        <f t="shared" si="22"/>
        <v>1805</v>
      </c>
      <c r="N263" t="str">
        <f t="shared" si="23"/>
        <v>Jun</v>
      </c>
      <c r="O263">
        <f t="shared" si="24"/>
        <v>2</v>
      </c>
      <c r="P263">
        <f>VLOOKUP(F263,Products!A:C,3,FALSE)</f>
        <v>1178</v>
      </c>
      <c r="Q263" s="12">
        <f t="shared" si="25"/>
        <v>627</v>
      </c>
    </row>
    <row r="264" ht="15">
      <c r="A264" s="7" t="s">
        <v>356</v>
      </c>
      <c r="B264" s="8">
        <v>45814</v>
      </c>
      <c r="C264" s="7" t="s">
        <v>23</v>
      </c>
      <c r="D264" s="7" t="s">
        <v>95</v>
      </c>
      <c r="E264" s="7" t="s">
        <v>24</v>
      </c>
      <c r="F264" s="7" t="s">
        <v>26</v>
      </c>
      <c r="G264" s="7">
        <v>2</v>
      </c>
      <c r="H264" s="9">
        <v>3100</v>
      </c>
      <c r="I264" s="10">
        <v>0.14999999999999999</v>
      </c>
      <c r="J264" s="7" t="s">
        <v>83</v>
      </c>
      <c r="K264" s="7" t="s">
        <v>65</v>
      </c>
      <c r="L264" s="7" t="s">
        <v>78</v>
      </c>
      <c r="M264" s="11">
        <f t="shared" si="22"/>
        <v>5270</v>
      </c>
      <c r="N264" t="str">
        <f t="shared" si="23"/>
        <v>Jun</v>
      </c>
      <c r="O264">
        <f t="shared" si="24"/>
        <v>2</v>
      </c>
      <c r="P264">
        <f>VLOOKUP(F264,Products!A:C,3,FALSE)</f>
        <v>1922</v>
      </c>
      <c r="Q264" s="12">
        <f t="shared" si="25"/>
        <v>1426</v>
      </c>
    </row>
    <row r="265" ht="15">
      <c r="A265" s="7" t="s">
        <v>357</v>
      </c>
      <c r="B265" s="8">
        <v>45815</v>
      </c>
      <c r="C265" s="7" t="s">
        <v>40</v>
      </c>
      <c r="D265" s="7" t="s">
        <v>85</v>
      </c>
      <c r="E265" s="7" t="s">
        <v>24</v>
      </c>
      <c r="F265" s="7" t="s">
        <v>96</v>
      </c>
      <c r="G265" s="7">
        <v>4</v>
      </c>
      <c r="H265" s="9">
        <v>1450</v>
      </c>
      <c r="I265" s="10">
        <v>0</v>
      </c>
      <c r="J265" s="7" t="s">
        <v>64</v>
      </c>
      <c r="K265" s="7" t="s">
        <v>71</v>
      </c>
      <c r="L265" s="7" t="s">
        <v>78</v>
      </c>
      <c r="M265" s="11">
        <f t="shared" si="22"/>
        <v>5800</v>
      </c>
      <c r="N265" t="str">
        <f t="shared" si="23"/>
        <v>Jun</v>
      </c>
      <c r="O265">
        <f t="shared" si="24"/>
        <v>2</v>
      </c>
      <c r="P265">
        <f>VLOOKUP(F265,Products!A:C,3,FALSE)</f>
        <v>899</v>
      </c>
      <c r="Q265" s="12">
        <f t="shared" si="25"/>
        <v>2204</v>
      </c>
    </row>
    <row r="266" ht="15">
      <c r="A266" s="7" t="s">
        <v>358</v>
      </c>
      <c r="B266" s="8">
        <v>45817</v>
      </c>
      <c r="C266" s="7" t="s">
        <v>23</v>
      </c>
      <c r="D266" s="7" t="s">
        <v>105</v>
      </c>
      <c r="E266" s="7" t="s">
        <v>34</v>
      </c>
      <c r="F266" s="7" t="s">
        <v>69</v>
      </c>
      <c r="G266" s="7">
        <v>19</v>
      </c>
      <c r="H266" s="9">
        <v>120</v>
      </c>
      <c r="I266" s="10">
        <v>0</v>
      </c>
      <c r="J266" s="7" t="s">
        <v>64</v>
      </c>
      <c r="K266" s="7" t="s">
        <v>65</v>
      </c>
      <c r="L266" s="7" t="s">
        <v>66</v>
      </c>
      <c r="M266" s="11">
        <f t="shared" si="22"/>
        <v>2280</v>
      </c>
      <c r="N266" t="str">
        <f t="shared" si="23"/>
        <v>Jun</v>
      </c>
      <c r="O266">
        <f t="shared" si="24"/>
        <v>2</v>
      </c>
      <c r="P266">
        <f>VLOOKUP(F266,Products!A:C,3,FALSE)</f>
        <v>74</v>
      </c>
      <c r="Q266" s="12">
        <f t="shared" si="25"/>
        <v>874</v>
      </c>
    </row>
    <row r="267" ht="15">
      <c r="A267" s="7" t="s">
        <v>359</v>
      </c>
      <c r="B267" s="8">
        <v>45817</v>
      </c>
      <c r="C267" s="7" t="s">
        <v>23</v>
      </c>
      <c r="D267" s="7" t="s">
        <v>105</v>
      </c>
      <c r="E267" s="7" t="s">
        <v>24</v>
      </c>
      <c r="F267" s="7" t="s">
        <v>26</v>
      </c>
      <c r="G267" s="7">
        <v>1</v>
      </c>
      <c r="H267" s="9">
        <v>3100</v>
      </c>
      <c r="I267" s="10">
        <v>0.10000000000000001</v>
      </c>
      <c r="J267" s="7" t="s">
        <v>89</v>
      </c>
      <c r="K267" s="7" t="s">
        <v>71</v>
      </c>
      <c r="L267" s="7" t="s">
        <v>74</v>
      </c>
      <c r="M267" s="11">
        <f t="shared" si="22"/>
        <v>2790</v>
      </c>
      <c r="N267" t="str">
        <f t="shared" si="23"/>
        <v>Jun</v>
      </c>
      <c r="O267">
        <f t="shared" si="24"/>
        <v>2</v>
      </c>
      <c r="P267">
        <f>VLOOKUP(F267,Products!A:C,3,FALSE)</f>
        <v>1922</v>
      </c>
      <c r="Q267" s="12">
        <f t="shared" si="25"/>
        <v>868</v>
      </c>
    </row>
    <row r="268" ht="15">
      <c r="A268" s="7" t="s">
        <v>360</v>
      </c>
      <c r="B268" s="8">
        <v>45818</v>
      </c>
      <c r="C268" s="7" t="s">
        <v>23</v>
      </c>
      <c r="D268" s="7" t="s">
        <v>95</v>
      </c>
      <c r="E268" s="7" t="s">
        <v>24</v>
      </c>
      <c r="F268" s="7" t="s">
        <v>96</v>
      </c>
      <c r="G268" s="7">
        <v>4</v>
      </c>
      <c r="H268" s="9">
        <v>1450</v>
      </c>
      <c r="I268" s="10">
        <v>0</v>
      </c>
      <c r="J268" s="7" t="s">
        <v>70</v>
      </c>
      <c r="K268" s="7" t="s">
        <v>71</v>
      </c>
      <c r="L268" s="7" t="s">
        <v>66</v>
      </c>
      <c r="M268" s="11">
        <f t="shared" si="22"/>
        <v>5800</v>
      </c>
      <c r="N268" t="str">
        <f t="shared" si="23"/>
        <v>Jun</v>
      </c>
      <c r="O268">
        <f t="shared" si="24"/>
        <v>2</v>
      </c>
      <c r="P268">
        <f>VLOOKUP(F268,Products!A:C,3,FALSE)</f>
        <v>899</v>
      </c>
      <c r="Q268" s="12">
        <f t="shared" si="25"/>
        <v>2204</v>
      </c>
    </row>
    <row r="269" ht="15">
      <c r="A269" s="7" t="s">
        <v>361</v>
      </c>
      <c r="B269" s="8">
        <v>45818</v>
      </c>
      <c r="C269" s="7" t="s">
        <v>40</v>
      </c>
      <c r="D269" s="7" t="s">
        <v>85</v>
      </c>
      <c r="E269" s="7" t="s">
        <v>29</v>
      </c>
      <c r="F269" s="7" t="s">
        <v>120</v>
      </c>
      <c r="G269" s="7">
        <v>1</v>
      </c>
      <c r="H269" s="9">
        <v>2300</v>
      </c>
      <c r="I269" s="10">
        <v>0</v>
      </c>
      <c r="J269" s="7" t="s">
        <v>64</v>
      </c>
      <c r="K269" s="7" t="s">
        <v>65</v>
      </c>
      <c r="L269" s="7" t="s">
        <v>66</v>
      </c>
      <c r="M269" s="11">
        <f t="shared" si="22"/>
        <v>2300</v>
      </c>
      <c r="N269" t="str">
        <f t="shared" si="23"/>
        <v>Jun</v>
      </c>
      <c r="O269">
        <f t="shared" si="24"/>
        <v>2</v>
      </c>
      <c r="P269">
        <f>VLOOKUP(F269,Products!A:C,3,FALSE)</f>
        <v>1426</v>
      </c>
      <c r="Q269" s="12">
        <f t="shared" si="25"/>
        <v>874</v>
      </c>
    </row>
    <row r="270" ht="15">
      <c r="A270" s="7" t="s">
        <v>362</v>
      </c>
      <c r="B270" s="8">
        <v>45818</v>
      </c>
      <c r="C270" s="7" t="s">
        <v>36</v>
      </c>
      <c r="D270" s="7" t="s">
        <v>76</v>
      </c>
      <c r="E270" s="7" t="s">
        <v>19</v>
      </c>
      <c r="F270" s="7" t="s">
        <v>73</v>
      </c>
      <c r="G270" s="7">
        <v>3</v>
      </c>
      <c r="H270" s="9">
        <v>650</v>
      </c>
      <c r="I270" s="10">
        <v>0.10000000000000001</v>
      </c>
      <c r="J270" s="7" t="s">
        <v>70</v>
      </c>
      <c r="K270" s="7" t="s">
        <v>71</v>
      </c>
      <c r="L270" s="7" t="s">
        <v>74</v>
      </c>
      <c r="M270" s="11">
        <f t="shared" si="22"/>
        <v>1755</v>
      </c>
      <c r="N270" t="str">
        <f t="shared" si="23"/>
        <v>Jun</v>
      </c>
      <c r="O270">
        <f t="shared" si="24"/>
        <v>2</v>
      </c>
      <c r="P270">
        <f>VLOOKUP(F270,Products!A:C,3,FALSE)</f>
        <v>403</v>
      </c>
      <c r="Q270" s="12">
        <f t="shared" si="25"/>
        <v>546</v>
      </c>
    </row>
    <row r="271" ht="15">
      <c r="A271" s="7" t="s">
        <v>363</v>
      </c>
      <c r="B271" s="8">
        <v>45819</v>
      </c>
      <c r="C271" s="7" t="s">
        <v>18</v>
      </c>
      <c r="D271" s="7" t="s">
        <v>63</v>
      </c>
      <c r="E271" s="7" t="s">
        <v>19</v>
      </c>
      <c r="F271" s="7" t="s">
        <v>73</v>
      </c>
      <c r="G271" s="7">
        <v>2</v>
      </c>
      <c r="H271" s="9">
        <v>650</v>
      </c>
      <c r="I271" s="10">
        <v>0</v>
      </c>
      <c r="J271" s="7" t="s">
        <v>70</v>
      </c>
      <c r="K271" s="7" t="s">
        <v>65</v>
      </c>
      <c r="L271" s="7" t="s">
        <v>66</v>
      </c>
      <c r="M271" s="11">
        <f t="shared" si="22"/>
        <v>1300</v>
      </c>
      <c r="N271" t="str">
        <f t="shared" si="23"/>
        <v>Jun</v>
      </c>
      <c r="O271">
        <f t="shared" si="24"/>
        <v>2</v>
      </c>
      <c r="P271">
        <f>VLOOKUP(F271,Products!A:C,3,FALSE)</f>
        <v>403</v>
      </c>
      <c r="Q271" s="12">
        <f t="shared" si="25"/>
        <v>494</v>
      </c>
    </row>
    <row r="272" ht="15">
      <c r="A272" s="7" t="s">
        <v>364</v>
      </c>
      <c r="B272" s="8">
        <v>45820</v>
      </c>
      <c r="C272" s="7" t="s">
        <v>23</v>
      </c>
      <c r="D272" s="7" t="s">
        <v>95</v>
      </c>
      <c r="E272" s="7" t="s">
        <v>34</v>
      </c>
      <c r="F272" s="7" t="s">
        <v>86</v>
      </c>
      <c r="G272" s="7">
        <v>26</v>
      </c>
      <c r="H272" s="9">
        <v>210</v>
      </c>
      <c r="I272" s="10">
        <v>0</v>
      </c>
      <c r="J272" s="7" t="s">
        <v>89</v>
      </c>
      <c r="K272" s="7" t="s">
        <v>65</v>
      </c>
      <c r="L272" s="7" t="s">
        <v>66</v>
      </c>
      <c r="M272" s="11">
        <f t="shared" si="22"/>
        <v>5460</v>
      </c>
      <c r="N272" t="str">
        <f t="shared" si="23"/>
        <v>Jun</v>
      </c>
      <c r="O272">
        <f t="shared" si="24"/>
        <v>2</v>
      </c>
      <c r="P272">
        <f>VLOOKUP(F272,Products!A:C,3,FALSE)</f>
        <v>130</v>
      </c>
      <c r="Q272" s="12">
        <f t="shared" si="25"/>
        <v>2080</v>
      </c>
    </row>
    <row r="273" ht="15">
      <c r="A273" s="7" t="s">
        <v>365</v>
      </c>
      <c r="B273" s="8">
        <v>45821</v>
      </c>
      <c r="C273" s="7" t="s">
        <v>40</v>
      </c>
      <c r="D273" s="7" t="s">
        <v>98</v>
      </c>
      <c r="E273" s="7" t="s">
        <v>24</v>
      </c>
      <c r="F273" s="7" t="s">
        <v>35</v>
      </c>
      <c r="G273" s="7">
        <v>4</v>
      </c>
      <c r="H273" s="9">
        <v>8200</v>
      </c>
      <c r="I273" s="10">
        <v>5.0000000000000003e-002</v>
      </c>
      <c r="J273" s="7" t="s">
        <v>103</v>
      </c>
      <c r="K273" s="7" t="s">
        <v>71</v>
      </c>
      <c r="L273" s="7" t="s">
        <v>74</v>
      </c>
      <c r="M273" s="11">
        <f t="shared" si="22"/>
        <v>31160</v>
      </c>
      <c r="N273" t="str">
        <f t="shared" si="23"/>
        <v>Jun</v>
      </c>
      <c r="O273">
        <f t="shared" si="24"/>
        <v>2</v>
      </c>
      <c r="P273">
        <f>VLOOKUP(F273,Products!A:C,3,FALSE)</f>
        <v>5084</v>
      </c>
      <c r="Q273" s="12">
        <f t="shared" si="25"/>
        <v>10824</v>
      </c>
    </row>
    <row r="274" ht="15">
      <c r="A274" s="7" t="s">
        <v>366</v>
      </c>
      <c r="B274" s="8">
        <v>45822</v>
      </c>
      <c r="C274" s="7" t="s">
        <v>40</v>
      </c>
      <c r="D274" s="7" t="s">
        <v>98</v>
      </c>
      <c r="E274" s="7" t="s">
        <v>19</v>
      </c>
      <c r="F274" s="7" t="s">
        <v>73</v>
      </c>
      <c r="G274" s="7">
        <v>2</v>
      </c>
      <c r="H274" s="9">
        <v>650</v>
      </c>
      <c r="I274" s="10">
        <v>0.10000000000000001</v>
      </c>
      <c r="J274" s="7" t="s">
        <v>70</v>
      </c>
      <c r="K274" s="7" t="s">
        <v>71</v>
      </c>
      <c r="L274" s="7" t="s">
        <v>66</v>
      </c>
      <c r="M274" s="11">
        <f t="shared" si="22"/>
        <v>1170</v>
      </c>
      <c r="N274" t="str">
        <f t="shared" si="23"/>
        <v>Jun</v>
      </c>
      <c r="O274">
        <f t="shared" si="24"/>
        <v>2</v>
      </c>
      <c r="P274">
        <f>VLOOKUP(F274,Products!A:C,3,FALSE)</f>
        <v>403</v>
      </c>
      <c r="Q274" s="12">
        <f t="shared" si="25"/>
        <v>364</v>
      </c>
    </row>
    <row r="275" ht="15">
      <c r="A275" s="7" t="s">
        <v>367</v>
      </c>
      <c r="B275" s="8">
        <v>45822</v>
      </c>
      <c r="C275" s="7" t="s">
        <v>28</v>
      </c>
      <c r="D275" s="7" t="s">
        <v>112</v>
      </c>
      <c r="E275" s="7" t="s">
        <v>29</v>
      </c>
      <c r="F275" s="7" t="s">
        <v>81</v>
      </c>
      <c r="G275" s="7">
        <v>1</v>
      </c>
      <c r="H275" s="9">
        <v>1900</v>
      </c>
      <c r="I275" s="10">
        <v>0.10000000000000001</v>
      </c>
      <c r="J275" s="7" t="s">
        <v>64</v>
      </c>
      <c r="K275" s="7" t="s">
        <v>65</v>
      </c>
      <c r="L275" s="7" t="s">
        <v>90</v>
      </c>
      <c r="M275" s="11">
        <f t="shared" si="22"/>
        <v>1710</v>
      </c>
      <c r="N275" t="str">
        <f t="shared" si="23"/>
        <v>Jun</v>
      </c>
      <c r="O275">
        <f t="shared" si="24"/>
        <v>2</v>
      </c>
      <c r="P275">
        <f>VLOOKUP(F275,Products!A:C,3,FALSE)</f>
        <v>1178</v>
      </c>
      <c r="Q275" s="12">
        <f t="shared" si="25"/>
        <v>532</v>
      </c>
    </row>
    <row r="276" ht="15">
      <c r="A276" s="7" t="s">
        <v>368</v>
      </c>
      <c r="B276" s="8">
        <v>45823</v>
      </c>
      <c r="C276" s="7" t="s">
        <v>33</v>
      </c>
      <c r="D276" s="7" t="s">
        <v>102</v>
      </c>
      <c r="E276" s="7" t="s">
        <v>24</v>
      </c>
      <c r="F276" s="7" t="s">
        <v>35</v>
      </c>
      <c r="G276" s="7">
        <v>4</v>
      </c>
      <c r="H276" s="9">
        <v>8200</v>
      </c>
      <c r="I276" s="10">
        <v>0.14999999999999999</v>
      </c>
      <c r="J276" s="7" t="s">
        <v>64</v>
      </c>
      <c r="K276" s="7" t="s">
        <v>65</v>
      </c>
      <c r="L276" s="7" t="s">
        <v>66</v>
      </c>
      <c r="M276" s="11">
        <f t="shared" si="22"/>
        <v>27880</v>
      </c>
      <c r="N276" t="str">
        <f t="shared" si="23"/>
        <v>Jun</v>
      </c>
      <c r="O276">
        <f t="shared" si="24"/>
        <v>2</v>
      </c>
      <c r="P276">
        <f>VLOOKUP(F276,Products!A:C,3,FALSE)</f>
        <v>5084</v>
      </c>
      <c r="Q276" s="12">
        <f t="shared" si="25"/>
        <v>7544</v>
      </c>
    </row>
    <row r="277" ht="15">
      <c r="A277" s="7" t="s">
        <v>369</v>
      </c>
      <c r="B277" s="8">
        <v>45823</v>
      </c>
      <c r="C277" s="7" t="s">
        <v>40</v>
      </c>
      <c r="D277" s="7" t="s">
        <v>85</v>
      </c>
      <c r="E277" s="7" t="s">
        <v>19</v>
      </c>
      <c r="F277" s="7" t="s">
        <v>77</v>
      </c>
      <c r="G277" s="7">
        <v>3</v>
      </c>
      <c r="H277" s="9">
        <v>520</v>
      </c>
      <c r="I277" s="10">
        <v>0</v>
      </c>
      <c r="J277" s="7" t="s">
        <v>70</v>
      </c>
      <c r="K277" s="7" t="s">
        <v>65</v>
      </c>
      <c r="L277" s="7" t="s">
        <v>78</v>
      </c>
      <c r="M277" s="11">
        <f t="shared" si="22"/>
        <v>1560</v>
      </c>
      <c r="N277" t="str">
        <f t="shared" si="23"/>
        <v>Jun</v>
      </c>
      <c r="O277">
        <f t="shared" si="24"/>
        <v>2</v>
      </c>
      <c r="P277">
        <f>VLOOKUP(F277,Products!A:C,3,FALSE)</f>
        <v>322</v>
      </c>
      <c r="Q277" s="12">
        <f t="shared" si="25"/>
        <v>594</v>
      </c>
    </row>
    <row r="278" ht="15">
      <c r="A278" s="7" t="s">
        <v>370</v>
      </c>
      <c r="B278" s="8">
        <v>45823</v>
      </c>
      <c r="C278" s="7" t="s">
        <v>40</v>
      </c>
      <c r="D278" s="7" t="s">
        <v>80</v>
      </c>
      <c r="E278" s="7" t="s">
        <v>24</v>
      </c>
      <c r="F278" s="7" t="s">
        <v>96</v>
      </c>
      <c r="G278" s="7">
        <v>1</v>
      </c>
      <c r="H278" s="9">
        <v>1450</v>
      </c>
      <c r="I278" s="10">
        <v>0</v>
      </c>
      <c r="J278" s="7" t="s">
        <v>103</v>
      </c>
      <c r="K278" s="7" t="s">
        <v>65</v>
      </c>
      <c r="L278" s="7" t="s">
        <v>90</v>
      </c>
      <c r="M278" s="11">
        <f t="shared" si="22"/>
        <v>1450</v>
      </c>
      <c r="N278" t="str">
        <f t="shared" si="23"/>
        <v>Jun</v>
      </c>
      <c r="O278">
        <f t="shared" si="24"/>
        <v>2</v>
      </c>
      <c r="P278">
        <f>VLOOKUP(F278,Products!A:C,3,FALSE)</f>
        <v>899</v>
      </c>
      <c r="Q278" s="12">
        <f t="shared" si="25"/>
        <v>551</v>
      </c>
    </row>
    <row r="279" ht="15">
      <c r="A279" s="7" t="s">
        <v>371</v>
      </c>
      <c r="B279" s="8">
        <v>45824</v>
      </c>
      <c r="C279" s="7" t="s">
        <v>33</v>
      </c>
      <c r="D279" s="7" t="s">
        <v>68</v>
      </c>
      <c r="E279" s="7" t="s">
        <v>29</v>
      </c>
      <c r="F279" s="7" t="s">
        <v>120</v>
      </c>
      <c r="G279" s="7">
        <v>2</v>
      </c>
      <c r="H279" s="9">
        <v>2300</v>
      </c>
      <c r="I279" s="10">
        <v>5.0000000000000003e-002</v>
      </c>
      <c r="J279" s="7" t="s">
        <v>93</v>
      </c>
      <c r="K279" s="7" t="s">
        <v>65</v>
      </c>
      <c r="L279" s="7" t="s">
        <v>78</v>
      </c>
      <c r="M279" s="11">
        <f t="shared" si="22"/>
        <v>4370</v>
      </c>
      <c r="N279" t="str">
        <f t="shared" si="23"/>
        <v>Jun</v>
      </c>
      <c r="O279">
        <f t="shared" si="24"/>
        <v>2</v>
      </c>
      <c r="P279">
        <f>VLOOKUP(F279,Products!A:C,3,FALSE)</f>
        <v>1426</v>
      </c>
      <c r="Q279" s="12">
        <f t="shared" si="25"/>
        <v>1518</v>
      </c>
    </row>
    <row r="280" ht="15">
      <c r="A280" s="7" t="s">
        <v>372</v>
      </c>
      <c r="B280" s="8">
        <v>45826</v>
      </c>
      <c r="C280" s="7" t="s">
        <v>40</v>
      </c>
      <c r="D280" s="7" t="s">
        <v>80</v>
      </c>
      <c r="E280" s="7" t="s">
        <v>24</v>
      </c>
      <c r="F280" s="7" t="s">
        <v>35</v>
      </c>
      <c r="G280" s="7">
        <v>3</v>
      </c>
      <c r="H280" s="9">
        <v>8200</v>
      </c>
      <c r="I280" s="10">
        <v>0.14999999999999999</v>
      </c>
      <c r="J280" s="7" t="s">
        <v>89</v>
      </c>
      <c r="K280" s="7" t="s">
        <v>65</v>
      </c>
      <c r="L280" s="7" t="s">
        <v>74</v>
      </c>
      <c r="M280" s="11">
        <f t="shared" si="22"/>
        <v>20910</v>
      </c>
      <c r="N280" t="str">
        <f t="shared" si="23"/>
        <v>Jun</v>
      </c>
      <c r="O280">
        <f t="shared" si="24"/>
        <v>2</v>
      </c>
      <c r="P280">
        <f>VLOOKUP(F280,Products!A:C,3,FALSE)</f>
        <v>5084</v>
      </c>
      <c r="Q280" s="12">
        <f t="shared" si="25"/>
        <v>5658</v>
      </c>
    </row>
    <row r="281" ht="15">
      <c r="A281" s="7" t="s">
        <v>373</v>
      </c>
      <c r="B281" s="8">
        <v>45826</v>
      </c>
      <c r="C281" s="7" t="s">
        <v>23</v>
      </c>
      <c r="D281" s="7" t="s">
        <v>95</v>
      </c>
      <c r="E281" s="7" t="s">
        <v>19</v>
      </c>
      <c r="F281" s="7" t="s">
        <v>77</v>
      </c>
      <c r="G281" s="7">
        <v>1</v>
      </c>
      <c r="H281" s="9">
        <v>520</v>
      </c>
      <c r="I281" s="10">
        <v>0.14999999999999999</v>
      </c>
      <c r="J281" s="7" t="s">
        <v>64</v>
      </c>
      <c r="K281" s="7" t="s">
        <v>71</v>
      </c>
      <c r="L281" s="7" t="s">
        <v>90</v>
      </c>
      <c r="M281" s="11">
        <f t="shared" si="22"/>
        <v>442</v>
      </c>
      <c r="N281" t="str">
        <f t="shared" si="23"/>
        <v>Jun</v>
      </c>
      <c r="O281">
        <f t="shared" si="24"/>
        <v>2</v>
      </c>
      <c r="P281">
        <f>VLOOKUP(F281,Products!A:C,3,FALSE)</f>
        <v>322</v>
      </c>
      <c r="Q281" s="12">
        <f t="shared" si="25"/>
        <v>120</v>
      </c>
    </row>
    <row r="282" ht="15">
      <c r="A282" s="7" t="s">
        <v>374</v>
      </c>
      <c r="B282" s="8">
        <v>45827</v>
      </c>
      <c r="C282" s="7" t="s">
        <v>40</v>
      </c>
      <c r="D282" s="7" t="s">
        <v>85</v>
      </c>
      <c r="E282" s="7" t="s">
        <v>34</v>
      </c>
      <c r="F282" s="7" t="s">
        <v>69</v>
      </c>
      <c r="G282" s="7">
        <v>21</v>
      </c>
      <c r="H282" s="9">
        <v>120</v>
      </c>
      <c r="I282" s="10">
        <v>0</v>
      </c>
      <c r="J282" s="7" t="s">
        <v>103</v>
      </c>
      <c r="K282" s="7" t="s">
        <v>71</v>
      </c>
      <c r="L282" s="7" t="s">
        <v>90</v>
      </c>
      <c r="M282" s="11">
        <f t="shared" si="22"/>
        <v>2520</v>
      </c>
      <c r="N282" t="str">
        <f t="shared" si="23"/>
        <v>Jun</v>
      </c>
      <c r="O282">
        <f t="shared" si="24"/>
        <v>2</v>
      </c>
      <c r="P282">
        <f>VLOOKUP(F282,Products!A:C,3,FALSE)</f>
        <v>74</v>
      </c>
      <c r="Q282" s="12">
        <f t="shared" si="25"/>
        <v>966</v>
      </c>
    </row>
    <row r="283" ht="15">
      <c r="A283" s="7" t="s">
        <v>375</v>
      </c>
      <c r="B283" s="8">
        <v>45827</v>
      </c>
      <c r="C283" s="7" t="s">
        <v>36</v>
      </c>
      <c r="D283" s="7" t="s">
        <v>114</v>
      </c>
      <c r="E283" s="7" t="s">
        <v>34</v>
      </c>
      <c r="F283" s="7" t="s">
        <v>69</v>
      </c>
      <c r="G283" s="7">
        <v>11</v>
      </c>
      <c r="H283" s="9">
        <v>120</v>
      </c>
      <c r="I283" s="10">
        <v>5.0000000000000003e-002</v>
      </c>
      <c r="J283" s="7" t="s">
        <v>103</v>
      </c>
      <c r="K283" s="7" t="s">
        <v>71</v>
      </c>
      <c r="L283" s="7" t="s">
        <v>74</v>
      </c>
      <c r="M283" s="11">
        <f t="shared" si="22"/>
        <v>1254</v>
      </c>
      <c r="N283" t="str">
        <f t="shared" si="23"/>
        <v>Jun</v>
      </c>
      <c r="O283">
        <f t="shared" si="24"/>
        <v>2</v>
      </c>
      <c r="P283">
        <f>VLOOKUP(F283,Products!A:C,3,FALSE)</f>
        <v>74</v>
      </c>
      <c r="Q283" s="12">
        <f t="shared" si="25"/>
        <v>440</v>
      </c>
    </row>
    <row r="284" ht="15">
      <c r="A284" s="7" t="s">
        <v>376</v>
      </c>
      <c r="B284" s="8">
        <v>45828</v>
      </c>
      <c r="C284" s="7" t="s">
        <v>40</v>
      </c>
      <c r="D284" s="7" t="s">
        <v>98</v>
      </c>
      <c r="E284" s="7" t="s">
        <v>24</v>
      </c>
      <c r="F284" s="7" t="s">
        <v>35</v>
      </c>
      <c r="G284" s="7">
        <v>2</v>
      </c>
      <c r="H284" s="9">
        <v>8200</v>
      </c>
      <c r="I284" s="10">
        <v>0</v>
      </c>
      <c r="J284" s="7" t="s">
        <v>70</v>
      </c>
      <c r="K284" s="7" t="s">
        <v>65</v>
      </c>
      <c r="L284" s="7" t="s">
        <v>78</v>
      </c>
      <c r="M284" s="11">
        <f t="shared" si="22"/>
        <v>16400</v>
      </c>
      <c r="N284" t="str">
        <f t="shared" si="23"/>
        <v>Jun</v>
      </c>
      <c r="O284">
        <f t="shared" si="24"/>
        <v>2</v>
      </c>
      <c r="P284">
        <f>VLOOKUP(F284,Products!A:C,3,FALSE)</f>
        <v>5084</v>
      </c>
      <c r="Q284" s="12">
        <f t="shared" si="25"/>
        <v>6232</v>
      </c>
    </row>
    <row r="285" ht="15">
      <c r="A285" s="7" t="s">
        <v>377</v>
      </c>
      <c r="B285" s="8">
        <v>45828</v>
      </c>
      <c r="C285" s="7" t="s">
        <v>33</v>
      </c>
      <c r="D285" s="7" t="s">
        <v>102</v>
      </c>
      <c r="E285" s="7" t="s">
        <v>34</v>
      </c>
      <c r="F285" s="7" t="s">
        <v>92</v>
      </c>
      <c r="G285" s="7">
        <v>6</v>
      </c>
      <c r="H285" s="9">
        <v>85</v>
      </c>
      <c r="I285" s="10">
        <v>0</v>
      </c>
      <c r="J285" s="7" t="s">
        <v>64</v>
      </c>
      <c r="K285" s="7" t="s">
        <v>71</v>
      </c>
      <c r="L285" s="7" t="s">
        <v>90</v>
      </c>
      <c r="M285" s="11">
        <f t="shared" si="22"/>
        <v>510</v>
      </c>
      <c r="N285" t="str">
        <f t="shared" si="23"/>
        <v>Jun</v>
      </c>
      <c r="O285">
        <f t="shared" si="24"/>
        <v>2</v>
      </c>
      <c r="P285">
        <f>VLOOKUP(F285,Products!A:C,3,FALSE)</f>
        <v>53</v>
      </c>
      <c r="Q285" s="12">
        <f t="shared" si="25"/>
        <v>192</v>
      </c>
    </row>
    <row r="286" ht="15">
      <c r="A286" s="7" t="s">
        <v>378</v>
      </c>
      <c r="B286" s="8">
        <v>45829</v>
      </c>
      <c r="C286" s="7" t="s">
        <v>40</v>
      </c>
      <c r="D286" s="7" t="s">
        <v>85</v>
      </c>
      <c r="E286" s="7" t="s">
        <v>19</v>
      </c>
      <c r="F286" s="7" t="s">
        <v>106</v>
      </c>
      <c r="G286" s="7">
        <v>1</v>
      </c>
      <c r="H286" s="9">
        <v>180</v>
      </c>
      <c r="I286" s="10">
        <v>0</v>
      </c>
      <c r="J286" s="7" t="s">
        <v>70</v>
      </c>
      <c r="K286" s="7" t="s">
        <v>65</v>
      </c>
      <c r="L286" s="7" t="s">
        <v>90</v>
      </c>
      <c r="M286" s="11">
        <f t="shared" si="22"/>
        <v>180</v>
      </c>
      <c r="N286" t="str">
        <f t="shared" si="23"/>
        <v>Jun</v>
      </c>
      <c r="O286">
        <f t="shared" si="24"/>
        <v>2</v>
      </c>
      <c r="P286">
        <f>VLOOKUP(F286,Products!A:C,3,FALSE)</f>
        <v>112</v>
      </c>
      <c r="Q286" s="12">
        <f t="shared" si="25"/>
        <v>68</v>
      </c>
    </row>
    <row r="287" ht="15">
      <c r="A287" s="7" t="s">
        <v>379</v>
      </c>
      <c r="B287" s="8">
        <v>45830</v>
      </c>
      <c r="C287" s="7" t="s">
        <v>36</v>
      </c>
      <c r="D287" s="7" t="s">
        <v>76</v>
      </c>
      <c r="E287" s="7" t="s">
        <v>19</v>
      </c>
      <c r="F287" s="7" t="s">
        <v>77</v>
      </c>
      <c r="G287" s="7">
        <v>1</v>
      </c>
      <c r="H287" s="9">
        <v>520</v>
      </c>
      <c r="I287" s="10">
        <v>5.0000000000000003e-002</v>
      </c>
      <c r="J287" s="7" t="s">
        <v>89</v>
      </c>
      <c r="K287" s="7" t="s">
        <v>65</v>
      </c>
      <c r="L287" s="7" t="s">
        <v>66</v>
      </c>
      <c r="M287" s="11">
        <f t="shared" si="22"/>
        <v>494</v>
      </c>
      <c r="N287" t="str">
        <f t="shared" si="23"/>
        <v>Jun</v>
      </c>
      <c r="O287">
        <f t="shared" si="24"/>
        <v>2</v>
      </c>
      <c r="P287">
        <f>VLOOKUP(F287,Products!A:C,3,FALSE)</f>
        <v>322</v>
      </c>
      <c r="Q287" s="12">
        <f t="shared" si="25"/>
        <v>172</v>
      </c>
    </row>
    <row r="288" ht="15">
      <c r="A288" s="7" t="s">
        <v>380</v>
      </c>
      <c r="B288" s="8">
        <v>45830</v>
      </c>
      <c r="C288" s="7" t="s">
        <v>18</v>
      </c>
      <c r="D288" s="7" t="s">
        <v>63</v>
      </c>
      <c r="E288" s="7" t="s">
        <v>24</v>
      </c>
      <c r="F288" s="7" t="s">
        <v>96</v>
      </c>
      <c r="G288" s="7">
        <v>3</v>
      </c>
      <c r="H288" s="9">
        <v>1450</v>
      </c>
      <c r="I288" s="10">
        <v>5.0000000000000003e-002</v>
      </c>
      <c r="J288" s="7" t="s">
        <v>64</v>
      </c>
      <c r="K288" s="7" t="s">
        <v>65</v>
      </c>
      <c r="L288" s="7" t="s">
        <v>74</v>
      </c>
      <c r="M288" s="11">
        <f t="shared" si="22"/>
        <v>4132.5</v>
      </c>
      <c r="N288" t="str">
        <f t="shared" si="23"/>
        <v>Jun</v>
      </c>
      <c r="O288">
        <f t="shared" si="24"/>
        <v>2</v>
      </c>
      <c r="P288">
        <f>VLOOKUP(F288,Products!A:C,3,FALSE)</f>
        <v>899</v>
      </c>
      <c r="Q288" s="12">
        <f t="shared" si="25"/>
        <v>1435.5</v>
      </c>
    </row>
    <row r="289" ht="15">
      <c r="A289" s="7" t="s">
        <v>381</v>
      </c>
      <c r="B289" s="8">
        <v>45831</v>
      </c>
      <c r="C289" s="7" t="s">
        <v>40</v>
      </c>
      <c r="D289" s="7" t="s">
        <v>85</v>
      </c>
      <c r="E289" s="7" t="s">
        <v>34</v>
      </c>
      <c r="F289" s="7" t="s">
        <v>86</v>
      </c>
      <c r="G289" s="7">
        <v>40</v>
      </c>
      <c r="H289" s="9">
        <v>210</v>
      </c>
      <c r="I289" s="10">
        <v>5.0000000000000003e-002</v>
      </c>
      <c r="J289" s="7" t="s">
        <v>103</v>
      </c>
      <c r="K289" s="7" t="s">
        <v>65</v>
      </c>
      <c r="L289" s="7" t="s">
        <v>90</v>
      </c>
      <c r="M289" s="11">
        <f t="shared" si="22"/>
        <v>7980</v>
      </c>
      <c r="N289" t="str">
        <f t="shared" si="23"/>
        <v>Jun</v>
      </c>
      <c r="O289">
        <f t="shared" si="24"/>
        <v>2</v>
      </c>
      <c r="P289">
        <f>VLOOKUP(F289,Products!A:C,3,FALSE)</f>
        <v>130</v>
      </c>
      <c r="Q289" s="12">
        <f t="shared" si="25"/>
        <v>2780</v>
      </c>
    </row>
    <row r="290" ht="15">
      <c r="A290" s="7" t="s">
        <v>382</v>
      </c>
      <c r="B290" s="8">
        <v>45831</v>
      </c>
      <c r="C290" s="7" t="s">
        <v>33</v>
      </c>
      <c r="D290" s="7" t="s">
        <v>102</v>
      </c>
      <c r="E290" s="7" t="s">
        <v>24</v>
      </c>
      <c r="F290" s="7" t="s">
        <v>31</v>
      </c>
      <c r="G290" s="7">
        <v>1</v>
      </c>
      <c r="H290" s="9">
        <v>5400</v>
      </c>
      <c r="I290" s="10">
        <v>5.0000000000000003e-002</v>
      </c>
      <c r="J290" s="7" t="s">
        <v>89</v>
      </c>
      <c r="K290" s="7" t="s">
        <v>65</v>
      </c>
      <c r="L290" s="7" t="s">
        <v>90</v>
      </c>
      <c r="M290" s="11">
        <f t="shared" si="22"/>
        <v>5130</v>
      </c>
      <c r="N290" t="str">
        <f t="shared" si="23"/>
        <v>Jun</v>
      </c>
      <c r="O290">
        <f t="shared" si="24"/>
        <v>2</v>
      </c>
      <c r="P290">
        <f>VLOOKUP(F290,Products!A:C,3,FALSE)</f>
        <v>3348</v>
      </c>
      <c r="Q290" s="12">
        <f t="shared" si="25"/>
        <v>1782</v>
      </c>
    </row>
    <row r="291" ht="15">
      <c r="A291" s="7" t="s">
        <v>383</v>
      </c>
      <c r="B291" s="8">
        <v>45832</v>
      </c>
      <c r="C291" s="7" t="s">
        <v>18</v>
      </c>
      <c r="D291" s="7" t="s">
        <v>63</v>
      </c>
      <c r="E291" s="7" t="s">
        <v>29</v>
      </c>
      <c r="F291" s="7" t="s">
        <v>120</v>
      </c>
      <c r="G291" s="7">
        <v>4</v>
      </c>
      <c r="H291" s="9">
        <v>2300</v>
      </c>
      <c r="I291" s="10">
        <v>0</v>
      </c>
      <c r="J291" s="7" t="s">
        <v>64</v>
      </c>
      <c r="K291" s="7" t="s">
        <v>65</v>
      </c>
      <c r="L291" s="7" t="s">
        <v>74</v>
      </c>
      <c r="M291" s="11">
        <f t="shared" si="22"/>
        <v>9200</v>
      </c>
      <c r="N291" t="str">
        <f t="shared" si="23"/>
        <v>Jun</v>
      </c>
      <c r="O291">
        <f t="shared" si="24"/>
        <v>2</v>
      </c>
      <c r="P291">
        <f>VLOOKUP(F291,Products!A:C,3,FALSE)</f>
        <v>1426</v>
      </c>
      <c r="Q291" s="12">
        <f t="shared" si="25"/>
        <v>3496</v>
      </c>
    </row>
    <row r="292" ht="15">
      <c r="A292" s="7" t="s">
        <v>384</v>
      </c>
      <c r="B292" s="8">
        <v>45832</v>
      </c>
      <c r="C292" s="7" t="s">
        <v>18</v>
      </c>
      <c r="D292" s="7" t="s">
        <v>63</v>
      </c>
      <c r="E292" s="7" t="s">
        <v>24</v>
      </c>
      <c r="F292" s="7" t="s">
        <v>38</v>
      </c>
      <c r="G292" s="7">
        <v>1</v>
      </c>
      <c r="H292" s="9">
        <v>12500</v>
      </c>
      <c r="I292" s="10">
        <v>5.0000000000000003e-002</v>
      </c>
      <c r="J292" s="7" t="s">
        <v>83</v>
      </c>
      <c r="K292" s="7" t="s">
        <v>65</v>
      </c>
      <c r="L292" s="7" t="s">
        <v>74</v>
      </c>
      <c r="M292" s="11">
        <f t="shared" ref="M292:M355" si="26">G292*H292*(1-I292)</f>
        <v>11875</v>
      </c>
      <c r="N292" t="str">
        <f t="shared" ref="N292:N355" si="27">TEXT(B292,"mmm")</f>
        <v>Jun</v>
      </c>
      <c r="O292">
        <f t="shared" ref="O292:O355" si="28">ROUNDUP(MONTH(B292)/3,0)</f>
        <v>2</v>
      </c>
      <c r="P292">
        <f>VLOOKUP(F292,Products!A:C,3,FALSE)</f>
        <v>7750</v>
      </c>
      <c r="Q292" s="12">
        <f t="shared" ref="Q292:Q355" si="29">M292-(G292*P292)</f>
        <v>4125</v>
      </c>
    </row>
    <row r="293" ht="15">
      <c r="A293" s="7" t="s">
        <v>385</v>
      </c>
      <c r="B293" s="8">
        <v>45832</v>
      </c>
      <c r="C293" s="7" t="s">
        <v>40</v>
      </c>
      <c r="D293" s="7" t="s">
        <v>80</v>
      </c>
      <c r="E293" s="7" t="s">
        <v>24</v>
      </c>
      <c r="F293" s="7" t="s">
        <v>31</v>
      </c>
      <c r="G293" s="7">
        <v>2</v>
      </c>
      <c r="H293" s="9">
        <v>5400</v>
      </c>
      <c r="I293" s="10">
        <v>0</v>
      </c>
      <c r="J293" s="7" t="s">
        <v>83</v>
      </c>
      <c r="K293" s="7" t="s">
        <v>71</v>
      </c>
      <c r="L293" s="7" t="s">
        <v>78</v>
      </c>
      <c r="M293" s="11">
        <f t="shared" si="26"/>
        <v>10800</v>
      </c>
      <c r="N293" t="str">
        <f t="shared" si="27"/>
        <v>Jun</v>
      </c>
      <c r="O293">
        <f t="shared" si="28"/>
        <v>2</v>
      </c>
      <c r="P293">
        <f>VLOOKUP(F293,Products!A:C,3,FALSE)</f>
        <v>3348</v>
      </c>
      <c r="Q293" s="12">
        <f t="shared" si="29"/>
        <v>4104</v>
      </c>
    </row>
    <row r="294" ht="15">
      <c r="A294" s="7" t="s">
        <v>386</v>
      </c>
      <c r="B294" s="8">
        <v>45832</v>
      </c>
      <c r="C294" s="7" t="s">
        <v>28</v>
      </c>
      <c r="D294" s="7" t="s">
        <v>112</v>
      </c>
      <c r="E294" s="7" t="s">
        <v>19</v>
      </c>
      <c r="F294" s="7" t="s">
        <v>106</v>
      </c>
      <c r="G294" s="7">
        <v>4</v>
      </c>
      <c r="H294" s="9">
        <v>180</v>
      </c>
      <c r="I294" s="10">
        <v>0</v>
      </c>
      <c r="J294" s="7" t="s">
        <v>64</v>
      </c>
      <c r="K294" s="7" t="s">
        <v>65</v>
      </c>
      <c r="L294" s="7" t="s">
        <v>66</v>
      </c>
      <c r="M294" s="11">
        <f t="shared" si="26"/>
        <v>720</v>
      </c>
      <c r="N294" t="str">
        <f t="shared" si="27"/>
        <v>Jun</v>
      </c>
      <c r="O294">
        <f t="shared" si="28"/>
        <v>2</v>
      </c>
      <c r="P294">
        <f>VLOOKUP(F294,Products!A:C,3,FALSE)</f>
        <v>112</v>
      </c>
      <c r="Q294" s="12">
        <f t="shared" si="29"/>
        <v>272</v>
      </c>
    </row>
    <row r="295" ht="15">
      <c r="A295" s="7" t="s">
        <v>387</v>
      </c>
      <c r="B295" s="8">
        <v>45832</v>
      </c>
      <c r="C295" s="7" t="s">
        <v>36</v>
      </c>
      <c r="D295" s="7" t="s">
        <v>76</v>
      </c>
      <c r="E295" s="7" t="s">
        <v>19</v>
      </c>
      <c r="F295" s="7" t="s">
        <v>106</v>
      </c>
      <c r="G295" s="7">
        <v>1</v>
      </c>
      <c r="H295" s="9">
        <v>180</v>
      </c>
      <c r="I295" s="10">
        <v>0.14999999999999999</v>
      </c>
      <c r="J295" s="7" t="s">
        <v>89</v>
      </c>
      <c r="K295" s="7" t="s">
        <v>65</v>
      </c>
      <c r="L295" s="7" t="s">
        <v>74</v>
      </c>
      <c r="M295" s="11">
        <f t="shared" si="26"/>
        <v>153</v>
      </c>
      <c r="N295" t="str">
        <f t="shared" si="27"/>
        <v>Jun</v>
      </c>
      <c r="O295">
        <f t="shared" si="28"/>
        <v>2</v>
      </c>
      <c r="P295">
        <f>VLOOKUP(F295,Products!A:C,3,FALSE)</f>
        <v>112</v>
      </c>
      <c r="Q295" s="12">
        <f t="shared" si="29"/>
        <v>41</v>
      </c>
    </row>
    <row r="296" ht="15">
      <c r="A296" s="7" t="s">
        <v>388</v>
      </c>
      <c r="B296" s="8">
        <v>45834</v>
      </c>
      <c r="C296" s="7" t="s">
        <v>28</v>
      </c>
      <c r="D296" s="7" t="s">
        <v>112</v>
      </c>
      <c r="E296" s="7" t="s">
        <v>34</v>
      </c>
      <c r="F296" s="7" t="s">
        <v>92</v>
      </c>
      <c r="G296" s="7">
        <v>39</v>
      </c>
      <c r="H296" s="9">
        <v>85</v>
      </c>
      <c r="I296" s="10">
        <v>0</v>
      </c>
      <c r="J296" s="7" t="s">
        <v>64</v>
      </c>
      <c r="K296" s="7" t="s">
        <v>65</v>
      </c>
      <c r="L296" s="7" t="s">
        <v>78</v>
      </c>
      <c r="M296" s="11">
        <f t="shared" si="26"/>
        <v>3315</v>
      </c>
      <c r="N296" t="str">
        <f t="shared" si="27"/>
        <v>Jun</v>
      </c>
      <c r="O296">
        <f t="shared" si="28"/>
        <v>2</v>
      </c>
      <c r="P296">
        <f>VLOOKUP(F296,Products!A:C,3,FALSE)</f>
        <v>53</v>
      </c>
      <c r="Q296" s="12">
        <f t="shared" si="29"/>
        <v>1248</v>
      </c>
    </row>
    <row r="297" ht="15">
      <c r="A297" s="7" t="s">
        <v>389</v>
      </c>
      <c r="B297" s="8">
        <v>45834</v>
      </c>
      <c r="C297" s="7" t="s">
        <v>40</v>
      </c>
      <c r="D297" s="7" t="s">
        <v>98</v>
      </c>
      <c r="E297" s="7" t="s">
        <v>24</v>
      </c>
      <c r="F297" s="7" t="s">
        <v>38</v>
      </c>
      <c r="G297" s="7">
        <v>1</v>
      </c>
      <c r="H297" s="9">
        <v>12500</v>
      </c>
      <c r="I297" s="10">
        <v>0.10000000000000001</v>
      </c>
      <c r="J297" s="7" t="s">
        <v>70</v>
      </c>
      <c r="K297" s="7" t="s">
        <v>65</v>
      </c>
      <c r="L297" s="7" t="s">
        <v>74</v>
      </c>
      <c r="M297" s="11">
        <f t="shared" si="26"/>
        <v>11250</v>
      </c>
      <c r="N297" t="str">
        <f t="shared" si="27"/>
        <v>Jun</v>
      </c>
      <c r="O297">
        <f t="shared" si="28"/>
        <v>2</v>
      </c>
      <c r="P297">
        <f>VLOOKUP(F297,Products!A:C,3,FALSE)</f>
        <v>7750</v>
      </c>
      <c r="Q297" s="12">
        <f t="shared" si="29"/>
        <v>3500</v>
      </c>
    </row>
    <row r="298" ht="15">
      <c r="A298" s="7" t="s">
        <v>390</v>
      </c>
      <c r="B298" s="8">
        <v>45835</v>
      </c>
      <c r="C298" s="7" t="s">
        <v>40</v>
      </c>
      <c r="D298" s="7" t="s">
        <v>80</v>
      </c>
      <c r="E298" s="7" t="s">
        <v>19</v>
      </c>
      <c r="F298" s="7" t="s">
        <v>106</v>
      </c>
      <c r="G298" s="7">
        <v>2</v>
      </c>
      <c r="H298" s="9">
        <v>180</v>
      </c>
      <c r="I298" s="10">
        <v>0</v>
      </c>
      <c r="J298" s="7" t="s">
        <v>103</v>
      </c>
      <c r="K298" s="7" t="s">
        <v>65</v>
      </c>
      <c r="L298" s="7" t="s">
        <v>74</v>
      </c>
      <c r="M298" s="11">
        <f t="shared" si="26"/>
        <v>360</v>
      </c>
      <c r="N298" t="str">
        <f t="shared" si="27"/>
        <v>Jun</v>
      </c>
      <c r="O298">
        <f t="shared" si="28"/>
        <v>2</v>
      </c>
      <c r="P298">
        <f>VLOOKUP(F298,Products!A:C,3,FALSE)</f>
        <v>112</v>
      </c>
      <c r="Q298" s="12">
        <f t="shared" si="29"/>
        <v>136</v>
      </c>
    </row>
    <row r="299" ht="15">
      <c r="A299" s="7" t="s">
        <v>391</v>
      </c>
      <c r="B299" s="8">
        <v>45836</v>
      </c>
      <c r="C299" s="7" t="s">
        <v>40</v>
      </c>
      <c r="D299" s="7" t="s">
        <v>80</v>
      </c>
      <c r="E299" s="7" t="s">
        <v>19</v>
      </c>
      <c r="F299" s="7" t="s">
        <v>106</v>
      </c>
      <c r="G299" s="7">
        <v>3</v>
      </c>
      <c r="H299" s="9">
        <v>180</v>
      </c>
      <c r="I299" s="10">
        <v>0</v>
      </c>
      <c r="J299" s="7" t="s">
        <v>93</v>
      </c>
      <c r="K299" s="7" t="s">
        <v>71</v>
      </c>
      <c r="L299" s="7" t="s">
        <v>90</v>
      </c>
      <c r="M299" s="11">
        <f t="shared" si="26"/>
        <v>540</v>
      </c>
      <c r="N299" t="str">
        <f t="shared" si="27"/>
        <v>Jun</v>
      </c>
      <c r="O299">
        <f t="shared" si="28"/>
        <v>2</v>
      </c>
      <c r="P299">
        <f>VLOOKUP(F299,Products!A:C,3,FALSE)</f>
        <v>112</v>
      </c>
      <c r="Q299" s="12">
        <f t="shared" si="29"/>
        <v>204</v>
      </c>
    </row>
    <row r="300" ht="15">
      <c r="A300" s="7" t="s">
        <v>392</v>
      </c>
      <c r="B300" s="8">
        <v>45837</v>
      </c>
      <c r="C300" s="7" t="s">
        <v>40</v>
      </c>
      <c r="D300" s="7" t="s">
        <v>85</v>
      </c>
      <c r="E300" s="7" t="s">
        <v>34</v>
      </c>
      <c r="F300" s="7" t="s">
        <v>92</v>
      </c>
      <c r="G300" s="7">
        <v>25</v>
      </c>
      <c r="H300" s="9">
        <v>85</v>
      </c>
      <c r="I300" s="10">
        <v>0</v>
      </c>
      <c r="J300" s="7" t="s">
        <v>64</v>
      </c>
      <c r="K300" s="7" t="s">
        <v>71</v>
      </c>
      <c r="L300" s="7" t="s">
        <v>90</v>
      </c>
      <c r="M300" s="11">
        <f t="shared" si="26"/>
        <v>2125</v>
      </c>
      <c r="N300" t="str">
        <f t="shared" si="27"/>
        <v>Jun</v>
      </c>
      <c r="O300">
        <f t="shared" si="28"/>
        <v>2</v>
      </c>
      <c r="P300">
        <f>VLOOKUP(F300,Products!A:C,3,FALSE)</f>
        <v>53</v>
      </c>
      <c r="Q300" s="12">
        <f t="shared" si="29"/>
        <v>800</v>
      </c>
    </row>
    <row r="301" ht="15">
      <c r="A301" s="7" t="s">
        <v>393</v>
      </c>
      <c r="B301" s="8">
        <v>45838</v>
      </c>
      <c r="C301" s="7" t="s">
        <v>36</v>
      </c>
      <c r="D301" s="7" t="s">
        <v>76</v>
      </c>
      <c r="E301" s="7" t="s">
        <v>19</v>
      </c>
      <c r="F301" s="7" t="s">
        <v>106</v>
      </c>
      <c r="G301" s="7">
        <v>3</v>
      </c>
      <c r="H301" s="9">
        <v>180</v>
      </c>
      <c r="I301" s="10">
        <v>0</v>
      </c>
      <c r="J301" s="7" t="s">
        <v>89</v>
      </c>
      <c r="K301" s="7" t="s">
        <v>71</v>
      </c>
      <c r="L301" s="7" t="s">
        <v>66</v>
      </c>
      <c r="M301" s="11">
        <f t="shared" si="26"/>
        <v>540</v>
      </c>
      <c r="N301" t="str">
        <f t="shared" si="27"/>
        <v>Jun</v>
      </c>
      <c r="O301">
        <f t="shared" si="28"/>
        <v>2</v>
      </c>
      <c r="P301">
        <f>VLOOKUP(F301,Products!A:C,3,FALSE)</f>
        <v>112</v>
      </c>
      <c r="Q301" s="12">
        <f t="shared" si="29"/>
        <v>204</v>
      </c>
    </row>
    <row r="302" ht="15">
      <c r="A302" s="7" t="s">
        <v>394</v>
      </c>
      <c r="B302" s="8">
        <v>45839</v>
      </c>
      <c r="C302" s="7" t="s">
        <v>36</v>
      </c>
      <c r="D302" s="7" t="s">
        <v>114</v>
      </c>
      <c r="E302" s="7" t="s">
        <v>24</v>
      </c>
      <c r="F302" s="7" t="s">
        <v>96</v>
      </c>
      <c r="G302" s="7">
        <v>4</v>
      </c>
      <c r="H302" s="9">
        <v>1450</v>
      </c>
      <c r="I302" s="10">
        <v>0</v>
      </c>
      <c r="J302" s="7" t="s">
        <v>89</v>
      </c>
      <c r="K302" s="7" t="s">
        <v>71</v>
      </c>
      <c r="L302" s="7" t="s">
        <v>74</v>
      </c>
      <c r="M302" s="11">
        <f t="shared" si="26"/>
        <v>5800</v>
      </c>
      <c r="N302" t="str">
        <f t="shared" si="27"/>
        <v>Jul</v>
      </c>
      <c r="O302">
        <f t="shared" si="28"/>
        <v>3</v>
      </c>
      <c r="P302">
        <f>VLOOKUP(F302,Products!A:C,3,FALSE)</f>
        <v>899</v>
      </c>
      <c r="Q302" s="12">
        <f t="shared" si="29"/>
        <v>2204</v>
      </c>
    </row>
    <row r="303" ht="15">
      <c r="A303" s="7" t="s">
        <v>395</v>
      </c>
      <c r="B303" s="8">
        <v>45839</v>
      </c>
      <c r="C303" s="7" t="s">
        <v>36</v>
      </c>
      <c r="D303" s="7" t="s">
        <v>76</v>
      </c>
      <c r="E303" s="7" t="s">
        <v>24</v>
      </c>
      <c r="F303" s="7" t="s">
        <v>31</v>
      </c>
      <c r="G303" s="7">
        <v>1</v>
      </c>
      <c r="H303" s="9">
        <v>5400</v>
      </c>
      <c r="I303" s="10">
        <v>0</v>
      </c>
      <c r="J303" s="7" t="s">
        <v>83</v>
      </c>
      <c r="K303" s="7" t="s">
        <v>65</v>
      </c>
      <c r="L303" s="7" t="s">
        <v>74</v>
      </c>
      <c r="M303" s="11">
        <f t="shared" si="26"/>
        <v>5400</v>
      </c>
      <c r="N303" t="str">
        <f t="shared" si="27"/>
        <v>Jul</v>
      </c>
      <c r="O303">
        <f t="shared" si="28"/>
        <v>3</v>
      </c>
      <c r="P303">
        <f>VLOOKUP(F303,Products!A:C,3,FALSE)</f>
        <v>3348</v>
      </c>
      <c r="Q303" s="12">
        <f t="shared" si="29"/>
        <v>2052</v>
      </c>
    </row>
    <row r="304" ht="15">
      <c r="A304" s="7" t="s">
        <v>396</v>
      </c>
      <c r="B304" s="8">
        <v>45839</v>
      </c>
      <c r="C304" s="7" t="s">
        <v>33</v>
      </c>
      <c r="D304" s="7" t="s">
        <v>68</v>
      </c>
      <c r="E304" s="7" t="s">
        <v>34</v>
      </c>
      <c r="F304" s="7" t="s">
        <v>86</v>
      </c>
      <c r="G304" s="7">
        <v>14</v>
      </c>
      <c r="H304" s="9">
        <v>210</v>
      </c>
      <c r="I304" s="10">
        <v>0</v>
      </c>
      <c r="J304" s="7" t="s">
        <v>89</v>
      </c>
      <c r="K304" s="7" t="s">
        <v>65</v>
      </c>
      <c r="L304" s="7" t="s">
        <v>66</v>
      </c>
      <c r="M304" s="11">
        <f t="shared" si="26"/>
        <v>2940</v>
      </c>
      <c r="N304" t="str">
        <f t="shared" si="27"/>
        <v>Jul</v>
      </c>
      <c r="O304">
        <f t="shared" si="28"/>
        <v>3</v>
      </c>
      <c r="P304">
        <f>VLOOKUP(F304,Products!A:C,3,FALSE)</f>
        <v>130</v>
      </c>
      <c r="Q304" s="12">
        <f t="shared" si="29"/>
        <v>1120</v>
      </c>
    </row>
    <row r="305" ht="15">
      <c r="A305" s="7" t="s">
        <v>397</v>
      </c>
      <c r="B305" s="8">
        <v>45843</v>
      </c>
      <c r="C305" s="7" t="s">
        <v>40</v>
      </c>
      <c r="D305" s="7" t="s">
        <v>98</v>
      </c>
      <c r="E305" s="7" t="s">
        <v>29</v>
      </c>
      <c r="F305" s="7" t="s">
        <v>120</v>
      </c>
      <c r="G305" s="7">
        <v>3</v>
      </c>
      <c r="H305" s="9">
        <v>2300</v>
      </c>
      <c r="I305" s="10">
        <v>5.0000000000000003e-002</v>
      </c>
      <c r="J305" s="7" t="s">
        <v>103</v>
      </c>
      <c r="K305" s="7" t="s">
        <v>65</v>
      </c>
      <c r="L305" s="7" t="s">
        <v>74</v>
      </c>
      <c r="M305" s="11">
        <f t="shared" si="26"/>
        <v>6555</v>
      </c>
      <c r="N305" t="str">
        <f t="shared" si="27"/>
        <v>Jul</v>
      </c>
      <c r="O305">
        <f t="shared" si="28"/>
        <v>3</v>
      </c>
      <c r="P305">
        <f>VLOOKUP(F305,Products!A:C,3,FALSE)</f>
        <v>1426</v>
      </c>
      <c r="Q305" s="12">
        <f t="shared" si="29"/>
        <v>2277</v>
      </c>
    </row>
    <row r="306" ht="15">
      <c r="A306" s="7" t="s">
        <v>398</v>
      </c>
      <c r="B306" s="8">
        <v>45843</v>
      </c>
      <c r="C306" s="7" t="s">
        <v>40</v>
      </c>
      <c r="D306" s="7" t="s">
        <v>85</v>
      </c>
      <c r="E306" s="7" t="s">
        <v>19</v>
      </c>
      <c r="F306" s="7" t="s">
        <v>73</v>
      </c>
      <c r="G306" s="7">
        <v>1</v>
      </c>
      <c r="H306" s="9">
        <v>650</v>
      </c>
      <c r="I306" s="10">
        <v>0.14999999999999999</v>
      </c>
      <c r="J306" s="7" t="s">
        <v>103</v>
      </c>
      <c r="K306" s="7" t="s">
        <v>65</v>
      </c>
      <c r="L306" s="7" t="s">
        <v>90</v>
      </c>
      <c r="M306" s="11">
        <f t="shared" si="26"/>
        <v>552.5</v>
      </c>
      <c r="N306" t="str">
        <f t="shared" si="27"/>
        <v>Jul</v>
      </c>
      <c r="O306">
        <f t="shared" si="28"/>
        <v>3</v>
      </c>
      <c r="P306">
        <f>VLOOKUP(F306,Products!A:C,3,FALSE)</f>
        <v>403</v>
      </c>
      <c r="Q306" s="12">
        <f t="shared" si="29"/>
        <v>149.5</v>
      </c>
    </row>
    <row r="307" ht="15">
      <c r="A307" s="7" t="s">
        <v>399</v>
      </c>
      <c r="B307" s="8">
        <v>45843</v>
      </c>
      <c r="C307" s="7" t="s">
        <v>33</v>
      </c>
      <c r="D307" s="7" t="s">
        <v>102</v>
      </c>
      <c r="E307" s="7" t="s">
        <v>19</v>
      </c>
      <c r="F307" s="7" t="s">
        <v>73</v>
      </c>
      <c r="G307" s="7">
        <v>4</v>
      </c>
      <c r="H307" s="9">
        <v>650</v>
      </c>
      <c r="I307" s="10">
        <v>5.0000000000000003e-002</v>
      </c>
      <c r="J307" s="7" t="s">
        <v>70</v>
      </c>
      <c r="K307" s="7" t="s">
        <v>65</v>
      </c>
      <c r="L307" s="7" t="s">
        <v>90</v>
      </c>
      <c r="M307" s="11">
        <f t="shared" si="26"/>
        <v>2470</v>
      </c>
      <c r="N307" t="str">
        <f t="shared" si="27"/>
        <v>Jul</v>
      </c>
      <c r="O307">
        <f t="shared" si="28"/>
        <v>3</v>
      </c>
      <c r="P307">
        <f>VLOOKUP(F307,Products!A:C,3,FALSE)</f>
        <v>403</v>
      </c>
      <c r="Q307" s="12">
        <f t="shared" si="29"/>
        <v>858</v>
      </c>
    </row>
    <row r="308" ht="15">
      <c r="A308" s="7" t="s">
        <v>400</v>
      </c>
      <c r="B308" s="8">
        <v>45844</v>
      </c>
      <c r="C308" s="7" t="s">
        <v>23</v>
      </c>
      <c r="D308" s="7" t="s">
        <v>95</v>
      </c>
      <c r="E308" s="7" t="s">
        <v>24</v>
      </c>
      <c r="F308" s="7" t="s">
        <v>35</v>
      </c>
      <c r="G308" s="7">
        <v>2</v>
      </c>
      <c r="H308" s="9">
        <v>8200</v>
      </c>
      <c r="I308" s="10">
        <v>5.0000000000000003e-002</v>
      </c>
      <c r="J308" s="7" t="s">
        <v>103</v>
      </c>
      <c r="K308" s="7" t="s">
        <v>71</v>
      </c>
      <c r="L308" s="7" t="s">
        <v>78</v>
      </c>
      <c r="M308" s="11">
        <f t="shared" si="26"/>
        <v>15580</v>
      </c>
      <c r="N308" t="str">
        <f t="shared" si="27"/>
        <v>Jul</v>
      </c>
      <c r="O308">
        <f t="shared" si="28"/>
        <v>3</v>
      </c>
      <c r="P308">
        <f>VLOOKUP(F308,Products!A:C,3,FALSE)</f>
        <v>5084</v>
      </c>
      <c r="Q308" s="12">
        <f t="shared" si="29"/>
        <v>5412</v>
      </c>
    </row>
    <row r="309" ht="15">
      <c r="A309" s="7" t="s">
        <v>401</v>
      </c>
      <c r="B309" s="8">
        <v>45844</v>
      </c>
      <c r="C309" s="7" t="s">
        <v>40</v>
      </c>
      <c r="D309" s="7" t="s">
        <v>85</v>
      </c>
      <c r="E309" s="7" t="s">
        <v>24</v>
      </c>
      <c r="F309" s="7" t="s">
        <v>26</v>
      </c>
      <c r="G309" s="7">
        <v>1</v>
      </c>
      <c r="H309" s="9">
        <v>3100</v>
      </c>
      <c r="I309" s="10">
        <v>0</v>
      </c>
      <c r="J309" s="7" t="s">
        <v>93</v>
      </c>
      <c r="K309" s="7" t="s">
        <v>65</v>
      </c>
      <c r="L309" s="7" t="s">
        <v>90</v>
      </c>
      <c r="M309" s="11">
        <f t="shared" si="26"/>
        <v>3100</v>
      </c>
      <c r="N309" t="str">
        <f t="shared" si="27"/>
        <v>Jul</v>
      </c>
      <c r="O309">
        <f t="shared" si="28"/>
        <v>3</v>
      </c>
      <c r="P309">
        <f>VLOOKUP(F309,Products!A:C,3,FALSE)</f>
        <v>1922</v>
      </c>
      <c r="Q309" s="12">
        <f t="shared" si="29"/>
        <v>1178</v>
      </c>
    </row>
    <row r="310" ht="15">
      <c r="A310" s="7" t="s">
        <v>402</v>
      </c>
      <c r="B310" s="8">
        <v>45847</v>
      </c>
      <c r="C310" s="7" t="s">
        <v>36</v>
      </c>
      <c r="D310" s="7" t="s">
        <v>114</v>
      </c>
      <c r="E310" s="7" t="s">
        <v>24</v>
      </c>
      <c r="F310" s="7" t="s">
        <v>31</v>
      </c>
      <c r="G310" s="7">
        <v>3</v>
      </c>
      <c r="H310" s="9">
        <v>5400</v>
      </c>
      <c r="I310" s="10">
        <v>0.10000000000000001</v>
      </c>
      <c r="J310" s="7" t="s">
        <v>83</v>
      </c>
      <c r="K310" s="7" t="s">
        <v>71</v>
      </c>
      <c r="L310" s="7" t="s">
        <v>78</v>
      </c>
      <c r="M310" s="11">
        <f t="shared" si="26"/>
        <v>14580</v>
      </c>
      <c r="N310" t="str">
        <f t="shared" si="27"/>
        <v>Jul</v>
      </c>
      <c r="O310">
        <f t="shared" si="28"/>
        <v>3</v>
      </c>
      <c r="P310">
        <f>VLOOKUP(F310,Products!A:C,3,FALSE)</f>
        <v>3348</v>
      </c>
      <c r="Q310" s="12">
        <f t="shared" si="29"/>
        <v>4536</v>
      </c>
    </row>
    <row r="311" ht="15">
      <c r="A311" s="7" t="s">
        <v>403</v>
      </c>
      <c r="B311" s="8">
        <v>45847</v>
      </c>
      <c r="C311" s="7" t="s">
        <v>28</v>
      </c>
      <c r="D311" s="7" t="s">
        <v>112</v>
      </c>
      <c r="E311" s="7" t="s">
        <v>29</v>
      </c>
      <c r="F311" s="7" t="s">
        <v>21</v>
      </c>
      <c r="G311" s="7">
        <v>4</v>
      </c>
      <c r="H311" s="9">
        <v>3600</v>
      </c>
      <c r="I311" s="10">
        <v>0</v>
      </c>
      <c r="J311" s="7" t="s">
        <v>103</v>
      </c>
      <c r="K311" s="7" t="s">
        <v>65</v>
      </c>
      <c r="L311" s="7" t="s">
        <v>74</v>
      </c>
      <c r="M311" s="11">
        <f t="shared" si="26"/>
        <v>14400</v>
      </c>
      <c r="N311" t="str">
        <f t="shared" si="27"/>
        <v>Jul</v>
      </c>
      <c r="O311">
        <f t="shared" si="28"/>
        <v>3</v>
      </c>
      <c r="P311">
        <f>VLOOKUP(F311,Products!A:C,3,FALSE)</f>
        <v>2232</v>
      </c>
      <c r="Q311" s="12">
        <f t="shared" si="29"/>
        <v>5472</v>
      </c>
    </row>
    <row r="312" ht="15">
      <c r="A312" s="7" t="s">
        <v>404</v>
      </c>
      <c r="B312" s="8">
        <v>45849</v>
      </c>
      <c r="C312" s="7" t="s">
        <v>33</v>
      </c>
      <c r="D312" s="7" t="s">
        <v>68</v>
      </c>
      <c r="E312" s="7" t="s">
        <v>24</v>
      </c>
      <c r="F312" s="7" t="s">
        <v>96</v>
      </c>
      <c r="G312" s="7">
        <v>3</v>
      </c>
      <c r="H312" s="9">
        <v>1450</v>
      </c>
      <c r="I312" s="10">
        <v>0</v>
      </c>
      <c r="J312" s="7" t="s">
        <v>64</v>
      </c>
      <c r="K312" s="7" t="s">
        <v>65</v>
      </c>
      <c r="L312" s="7" t="s">
        <v>90</v>
      </c>
      <c r="M312" s="11">
        <f t="shared" si="26"/>
        <v>4350</v>
      </c>
      <c r="N312" t="str">
        <f t="shared" si="27"/>
        <v>Jul</v>
      </c>
      <c r="O312">
        <f t="shared" si="28"/>
        <v>3</v>
      </c>
      <c r="P312">
        <f>VLOOKUP(F312,Products!A:C,3,FALSE)</f>
        <v>899</v>
      </c>
      <c r="Q312" s="12">
        <f t="shared" si="29"/>
        <v>1653</v>
      </c>
    </row>
    <row r="313" ht="15">
      <c r="A313" s="7" t="s">
        <v>405</v>
      </c>
      <c r="B313" s="8">
        <v>45849</v>
      </c>
      <c r="C313" s="7" t="s">
        <v>33</v>
      </c>
      <c r="D313" s="7" t="s">
        <v>68</v>
      </c>
      <c r="E313" s="7" t="s">
        <v>34</v>
      </c>
      <c r="F313" s="7" t="s">
        <v>92</v>
      </c>
      <c r="G313" s="7">
        <v>14</v>
      </c>
      <c r="H313" s="9">
        <v>85</v>
      </c>
      <c r="I313" s="10">
        <v>0</v>
      </c>
      <c r="J313" s="7" t="s">
        <v>93</v>
      </c>
      <c r="K313" s="7" t="s">
        <v>65</v>
      </c>
      <c r="L313" s="7" t="s">
        <v>78</v>
      </c>
      <c r="M313" s="11">
        <f t="shared" si="26"/>
        <v>1190</v>
      </c>
      <c r="N313" t="str">
        <f t="shared" si="27"/>
        <v>Jul</v>
      </c>
      <c r="O313">
        <f t="shared" si="28"/>
        <v>3</v>
      </c>
      <c r="P313">
        <f>VLOOKUP(F313,Products!A:C,3,FALSE)</f>
        <v>53</v>
      </c>
      <c r="Q313" s="12">
        <f t="shared" si="29"/>
        <v>448</v>
      </c>
    </row>
    <row r="314" ht="15">
      <c r="A314" s="7" t="s">
        <v>406</v>
      </c>
      <c r="B314" s="8">
        <v>45850</v>
      </c>
      <c r="C314" s="7" t="s">
        <v>23</v>
      </c>
      <c r="D314" s="7" t="s">
        <v>105</v>
      </c>
      <c r="E314" s="7" t="s">
        <v>24</v>
      </c>
      <c r="F314" s="7" t="s">
        <v>26</v>
      </c>
      <c r="G314" s="7">
        <v>2</v>
      </c>
      <c r="H314" s="9">
        <v>3100</v>
      </c>
      <c r="I314" s="10">
        <v>0</v>
      </c>
      <c r="J314" s="7" t="s">
        <v>103</v>
      </c>
      <c r="K314" s="7" t="s">
        <v>65</v>
      </c>
      <c r="L314" s="7" t="s">
        <v>66</v>
      </c>
      <c r="M314" s="11">
        <f t="shared" si="26"/>
        <v>6200</v>
      </c>
      <c r="N314" t="str">
        <f t="shared" si="27"/>
        <v>Jul</v>
      </c>
      <c r="O314">
        <f t="shared" si="28"/>
        <v>3</v>
      </c>
      <c r="P314">
        <f>VLOOKUP(F314,Products!A:C,3,FALSE)</f>
        <v>1922</v>
      </c>
      <c r="Q314" s="12">
        <f t="shared" si="29"/>
        <v>2356</v>
      </c>
    </row>
    <row r="315" ht="15">
      <c r="A315" s="7" t="s">
        <v>407</v>
      </c>
      <c r="B315" s="8">
        <v>45851</v>
      </c>
      <c r="C315" s="7" t="s">
        <v>33</v>
      </c>
      <c r="D315" s="7" t="s">
        <v>102</v>
      </c>
      <c r="E315" s="7" t="s">
        <v>24</v>
      </c>
      <c r="F315" s="7" t="s">
        <v>35</v>
      </c>
      <c r="G315" s="7">
        <v>3</v>
      </c>
      <c r="H315" s="9">
        <v>8200</v>
      </c>
      <c r="I315" s="10">
        <v>5.0000000000000003e-002</v>
      </c>
      <c r="J315" s="7" t="s">
        <v>70</v>
      </c>
      <c r="K315" s="7" t="s">
        <v>65</v>
      </c>
      <c r="L315" s="7" t="s">
        <v>66</v>
      </c>
      <c r="M315" s="11">
        <f t="shared" si="26"/>
        <v>23370</v>
      </c>
      <c r="N315" t="str">
        <f t="shared" si="27"/>
        <v>Jul</v>
      </c>
      <c r="O315">
        <f t="shared" si="28"/>
        <v>3</v>
      </c>
      <c r="P315">
        <f>VLOOKUP(F315,Products!A:C,3,FALSE)</f>
        <v>5084</v>
      </c>
      <c r="Q315" s="12">
        <f t="shared" si="29"/>
        <v>8118</v>
      </c>
    </row>
    <row r="316" ht="15">
      <c r="A316" s="7" t="s">
        <v>408</v>
      </c>
      <c r="B316" s="8">
        <v>45852</v>
      </c>
      <c r="C316" s="7" t="s">
        <v>36</v>
      </c>
      <c r="D316" s="7" t="s">
        <v>76</v>
      </c>
      <c r="E316" s="7" t="s">
        <v>24</v>
      </c>
      <c r="F316" s="7" t="s">
        <v>35</v>
      </c>
      <c r="G316" s="7">
        <v>2</v>
      </c>
      <c r="H316" s="9">
        <v>8200</v>
      </c>
      <c r="I316" s="10">
        <v>0</v>
      </c>
      <c r="J316" s="7" t="s">
        <v>70</v>
      </c>
      <c r="K316" s="7" t="s">
        <v>65</v>
      </c>
      <c r="L316" s="7" t="s">
        <v>90</v>
      </c>
      <c r="M316" s="11">
        <f t="shared" si="26"/>
        <v>16400</v>
      </c>
      <c r="N316" t="str">
        <f t="shared" si="27"/>
        <v>Jul</v>
      </c>
      <c r="O316">
        <f t="shared" si="28"/>
        <v>3</v>
      </c>
      <c r="P316">
        <f>VLOOKUP(F316,Products!A:C,3,FALSE)</f>
        <v>5084</v>
      </c>
      <c r="Q316" s="12">
        <f t="shared" si="29"/>
        <v>6232</v>
      </c>
    </row>
    <row r="317" ht="15">
      <c r="A317" s="7" t="s">
        <v>409</v>
      </c>
      <c r="B317" s="8">
        <v>45852</v>
      </c>
      <c r="C317" s="7" t="s">
        <v>40</v>
      </c>
      <c r="D317" s="7" t="s">
        <v>85</v>
      </c>
      <c r="E317" s="7" t="s">
        <v>24</v>
      </c>
      <c r="F317" s="7" t="s">
        <v>38</v>
      </c>
      <c r="G317" s="7">
        <v>3</v>
      </c>
      <c r="H317" s="9">
        <v>12500</v>
      </c>
      <c r="I317" s="10">
        <v>0</v>
      </c>
      <c r="J317" s="7" t="s">
        <v>93</v>
      </c>
      <c r="K317" s="7" t="s">
        <v>65</v>
      </c>
      <c r="L317" s="7" t="s">
        <v>74</v>
      </c>
      <c r="M317" s="11">
        <f t="shared" si="26"/>
        <v>37500</v>
      </c>
      <c r="N317" t="str">
        <f t="shared" si="27"/>
        <v>Jul</v>
      </c>
      <c r="O317">
        <f t="shared" si="28"/>
        <v>3</v>
      </c>
      <c r="P317">
        <f>VLOOKUP(F317,Products!A:C,3,FALSE)</f>
        <v>7750</v>
      </c>
      <c r="Q317" s="12">
        <f t="shared" si="29"/>
        <v>14250</v>
      </c>
    </row>
    <row r="318" ht="15">
      <c r="A318" s="7" t="s">
        <v>410</v>
      </c>
      <c r="B318" s="8">
        <v>45852</v>
      </c>
      <c r="C318" s="7" t="s">
        <v>36</v>
      </c>
      <c r="D318" s="7" t="s">
        <v>114</v>
      </c>
      <c r="E318" s="7" t="s">
        <v>19</v>
      </c>
      <c r="F318" s="7" t="s">
        <v>106</v>
      </c>
      <c r="G318" s="7">
        <v>1</v>
      </c>
      <c r="H318" s="9">
        <v>180</v>
      </c>
      <c r="I318" s="10">
        <v>0.14999999999999999</v>
      </c>
      <c r="J318" s="7" t="s">
        <v>93</v>
      </c>
      <c r="K318" s="7" t="s">
        <v>71</v>
      </c>
      <c r="L318" s="7" t="s">
        <v>90</v>
      </c>
      <c r="M318" s="11">
        <f t="shared" si="26"/>
        <v>153</v>
      </c>
      <c r="N318" t="str">
        <f t="shared" si="27"/>
        <v>Jul</v>
      </c>
      <c r="O318">
        <f t="shared" si="28"/>
        <v>3</v>
      </c>
      <c r="P318">
        <f>VLOOKUP(F318,Products!A:C,3,FALSE)</f>
        <v>112</v>
      </c>
      <c r="Q318" s="12">
        <f t="shared" si="29"/>
        <v>41</v>
      </c>
    </row>
    <row r="319" ht="15">
      <c r="A319" s="7" t="s">
        <v>411</v>
      </c>
      <c r="B319" s="8">
        <v>45852</v>
      </c>
      <c r="C319" s="7" t="s">
        <v>33</v>
      </c>
      <c r="D319" s="7" t="s">
        <v>102</v>
      </c>
      <c r="E319" s="7" t="s">
        <v>19</v>
      </c>
      <c r="F319" s="7" t="s">
        <v>106</v>
      </c>
      <c r="G319" s="7">
        <v>4</v>
      </c>
      <c r="H319" s="9">
        <v>180</v>
      </c>
      <c r="I319" s="10">
        <v>0.10000000000000001</v>
      </c>
      <c r="J319" s="7" t="s">
        <v>70</v>
      </c>
      <c r="K319" s="7" t="s">
        <v>71</v>
      </c>
      <c r="L319" s="7" t="s">
        <v>90</v>
      </c>
      <c r="M319" s="11">
        <f t="shared" si="26"/>
        <v>648</v>
      </c>
      <c r="N319" t="str">
        <f t="shared" si="27"/>
        <v>Jul</v>
      </c>
      <c r="O319">
        <f t="shared" si="28"/>
        <v>3</v>
      </c>
      <c r="P319">
        <f>VLOOKUP(F319,Products!A:C,3,FALSE)</f>
        <v>112</v>
      </c>
      <c r="Q319" s="12">
        <f t="shared" si="29"/>
        <v>200</v>
      </c>
    </row>
    <row r="320" ht="15">
      <c r="A320" s="7" t="s">
        <v>412</v>
      </c>
      <c r="B320" s="8">
        <v>45852</v>
      </c>
      <c r="C320" s="7" t="s">
        <v>18</v>
      </c>
      <c r="D320" s="7" t="s">
        <v>63</v>
      </c>
      <c r="E320" s="7" t="s">
        <v>34</v>
      </c>
      <c r="F320" s="7" t="s">
        <v>92</v>
      </c>
      <c r="G320" s="7">
        <v>24</v>
      </c>
      <c r="H320" s="9">
        <v>85</v>
      </c>
      <c r="I320" s="10">
        <v>0</v>
      </c>
      <c r="J320" s="7" t="s">
        <v>70</v>
      </c>
      <c r="K320" s="7" t="s">
        <v>71</v>
      </c>
      <c r="L320" s="7" t="s">
        <v>78</v>
      </c>
      <c r="M320" s="11">
        <f t="shared" si="26"/>
        <v>2040</v>
      </c>
      <c r="N320" t="str">
        <f t="shared" si="27"/>
        <v>Jul</v>
      </c>
      <c r="O320">
        <f t="shared" si="28"/>
        <v>3</v>
      </c>
      <c r="P320">
        <f>VLOOKUP(F320,Products!A:C,3,FALSE)</f>
        <v>53</v>
      </c>
      <c r="Q320" s="12">
        <f t="shared" si="29"/>
        <v>768</v>
      </c>
    </row>
    <row r="321" ht="15">
      <c r="A321" s="7" t="s">
        <v>413</v>
      </c>
      <c r="B321" s="8">
        <v>45852</v>
      </c>
      <c r="C321" s="7" t="s">
        <v>33</v>
      </c>
      <c r="D321" s="7" t="s">
        <v>102</v>
      </c>
      <c r="E321" s="7" t="s">
        <v>34</v>
      </c>
      <c r="F321" s="7" t="s">
        <v>69</v>
      </c>
      <c r="G321" s="7">
        <v>12</v>
      </c>
      <c r="H321" s="9">
        <v>120</v>
      </c>
      <c r="I321" s="10">
        <v>5.0000000000000003e-002</v>
      </c>
      <c r="J321" s="7" t="s">
        <v>64</v>
      </c>
      <c r="K321" s="7" t="s">
        <v>71</v>
      </c>
      <c r="L321" s="7" t="s">
        <v>74</v>
      </c>
      <c r="M321" s="11">
        <f t="shared" si="26"/>
        <v>1368</v>
      </c>
      <c r="N321" t="str">
        <f t="shared" si="27"/>
        <v>Jul</v>
      </c>
      <c r="O321">
        <f t="shared" si="28"/>
        <v>3</v>
      </c>
      <c r="P321">
        <f>VLOOKUP(F321,Products!A:C,3,FALSE)</f>
        <v>74</v>
      </c>
      <c r="Q321" s="12">
        <f t="shared" si="29"/>
        <v>480</v>
      </c>
    </row>
    <row r="322" ht="15">
      <c r="A322" s="7" t="s">
        <v>414</v>
      </c>
      <c r="B322" s="8">
        <v>45853</v>
      </c>
      <c r="C322" s="7" t="s">
        <v>23</v>
      </c>
      <c r="D322" s="7" t="s">
        <v>95</v>
      </c>
      <c r="E322" s="7" t="s">
        <v>24</v>
      </c>
      <c r="F322" s="7" t="s">
        <v>96</v>
      </c>
      <c r="G322" s="7">
        <v>1</v>
      </c>
      <c r="H322" s="9">
        <v>1450</v>
      </c>
      <c r="I322" s="10">
        <v>5.0000000000000003e-002</v>
      </c>
      <c r="J322" s="7" t="s">
        <v>103</v>
      </c>
      <c r="K322" s="7" t="s">
        <v>71</v>
      </c>
      <c r="L322" s="7" t="s">
        <v>90</v>
      </c>
      <c r="M322" s="11">
        <f t="shared" si="26"/>
        <v>1377.5</v>
      </c>
      <c r="N322" t="str">
        <f t="shared" si="27"/>
        <v>Jul</v>
      </c>
      <c r="O322">
        <f t="shared" si="28"/>
        <v>3</v>
      </c>
      <c r="P322">
        <f>VLOOKUP(F322,Products!A:C,3,FALSE)</f>
        <v>899</v>
      </c>
      <c r="Q322" s="12">
        <f t="shared" si="29"/>
        <v>478.5</v>
      </c>
    </row>
    <row r="323" ht="15">
      <c r="A323" s="7" t="s">
        <v>415</v>
      </c>
      <c r="B323" s="8">
        <v>45853</v>
      </c>
      <c r="C323" s="7" t="s">
        <v>28</v>
      </c>
      <c r="D323" s="7" t="s">
        <v>112</v>
      </c>
      <c r="E323" s="7" t="s">
        <v>24</v>
      </c>
      <c r="F323" s="7" t="s">
        <v>96</v>
      </c>
      <c r="G323" s="7">
        <v>3</v>
      </c>
      <c r="H323" s="9">
        <v>1450</v>
      </c>
      <c r="I323" s="10">
        <v>0</v>
      </c>
      <c r="J323" s="7" t="s">
        <v>89</v>
      </c>
      <c r="K323" s="7" t="s">
        <v>71</v>
      </c>
      <c r="L323" s="7" t="s">
        <v>78</v>
      </c>
      <c r="M323" s="11">
        <f t="shared" si="26"/>
        <v>4350</v>
      </c>
      <c r="N323" t="str">
        <f t="shared" si="27"/>
        <v>Jul</v>
      </c>
      <c r="O323">
        <f t="shared" si="28"/>
        <v>3</v>
      </c>
      <c r="P323">
        <f>VLOOKUP(F323,Products!A:C,3,FALSE)</f>
        <v>899</v>
      </c>
      <c r="Q323" s="12">
        <f t="shared" si="29"/>
        <v>1653</v>
      </c>
    </row>
    <row r="324" ht="15">
      <c r="A324" s="7" t="s">
        <v>416</v>
      </c>
      <c r="B324" s="8">
        <v>45853</v>
      </c>
      <c r="C324" s="7" t="s">
        <v>33</v>
      </c>
      <c r="D324" s="7" t="s">
        <v>68</v>
      </c>
      <c r="E324" s="7" t="s">
        <v>24</v>
      </c>
      <c r="F324" s="7" t="s">
        <v>35</v>
      </c>
      <c r="G324" s="7">
        <v>3</v>
      </c>
      <c r="H324" s="9">
        <v>8200</v>
      </c>
      <c r="I324" s="10">
        <v>0</v>
      </c>
      <c r="J324" s="7" t="s">
        <v>83</v>
      </c>
      <c r="K324" s="7" t="s">
        <v>65</v>
      </c>
      <c r="L324" s="7" t="s">
        <v>78</v>
      </c>
      <c r="M324" s="11">
        <f t="shared" si="26"/>
        <v>24600</v>
      </c>
      <c r="N324" t="str">
        <f t="shared" si="27"/>
        <v>Jul</v>
      </c>
      <c r="O324">
        <f t="shared" si="28"/>
        <v>3</v>
      </c>
      <c r="P324">
        <f>VLOOKUP(F324,Products!A:C,3,FALSE)</f>
        <v>5084</v>
      </c>
      <c r="Q324" s="12">
        <f t="shared" si="29"/>
        <v>9348</v>
      </c>
    </row>
    <row r="325" ht="15">
      <c r="A325" s="7" t="s">
        <v>417</v>
      </c>
      <c r="B325" s="8">
        <v>45854</v>
      </c>
      <c r="C325" s="7" t="s">
        <v>36</v>
      </c>
      <c r="D325" s="7" t="s">
        <v>76</v>
      </c>
      <c r="E325" s="7" t="s">
        <v>19</v>
      </c>
      <c r="F325" s="7" t="s">
        <v>106</v>
      </c>
      <c r="G325" s="7">
        <v>1</v>
      </c>
      <c r="H325" s="9">
        <v>180</v>
      </c>
      <c r="I325" s="10">
        <v>5.0000000000000003e-002</v>
      </c>
      <c r="J325" s="7" t="s">
        <v>64</v>
      </c>
      <c r="K325" s="7" t="s">
        <v>65</v>
      </c>
      <c r="L325" s="7" t="s">
        <v>78</v>
      </c>
      <c r="M325" s="11">
        <f t="shared" si="26"/>
        <v>171</v>
      </c>
      <c r="N325" t="str">
        <f t="shared" si="27"/>
        <v>Jul</v>
      </c>
      <c r="O325">
        <f t="shared" si="28"/>
        <v>3</v>
      </c>
      <c r="P325">
        <f>VLOOKUP(F325,Products!A:C,3,FALSE)</f>
        <v>112</v>
      </c>
      <c r="Q325" s="12">
        <f t="shared" si="29"/>
        <v>59</v>
      </c>
    </row>
    <row r="326" ht="15">
      <c r="A326" s="7" t="s">
        <v>418</v>
      </c>
      <c r="B326" s="8">
        <v>45855</v>
      </c>
      <c r="C326" s="7" t="s">
        <v>33</v>
      </c>
      <c r="D326" s="7" t="s">
        <v>102</v>
      </c>
      <c r="E326" s="7" t="s">
        <v>24</v>
      </c>
      <c r="F326" s="7" t="s">
        <v>35</v>
      </c>
      <c r="G326" s="7">
        <v>3</v>
      </c>
      <c r="H326" s="9">
        <v>8200</v>
      </c>
      <c r="I326" s="10">
        <v>0.10000000000000001</v>
      </c>
      <c r="J326" s="7" t="s">
        <v>93</v>
      </c>
      <c r="K326" s="7" t="s">
        <v>71</v>
      </c>
      <c r="L326" s="7" t="s">
        <v>66</v>
      </c>
      <c r="M326" s="11">
        <f t="shared" si="26"/>
        <v>22140</v>
      </c>
      <c r="N326" t="str">
        <f t="shared" si="27"/>
        <v>Jul</v>
      </c>
      <c r="O326">
        <f t="shared" si="28"/>
        <v>3</v>
      </c>
      <c r="P326">
        <f>VLOOKUP(F326,Products!A:C,3,FALSE)</f>
        <v>5084</v>
      </c>
      <c r="Q326" s="12">
        <f t="shared" si="29"/>
        <v>6888</v>
      </c>
    </row>
    <row r="327" ht="15">
      <c r="A327" s="7" t="s">
        <v>419</v>
      </c>
      <c r="B327" s="8">
        <v>45857</v>
      </c>
      <c r="C327" s="7" t="s">
        <v>36</v>
      </c>
      <c r="D327" s="7" t="s">
        <v>76</v>
      </c>
      <c r="E327" s="7" t="s">
        <v>29</v>
      </c>
      <c r="F327" s="7" t="s">
        <v>21</v>
      </c>
      <c r="G327" s="7">
        <v>1</v>
      </c>
      <c r="H327" s="9">
        <v>3600</v>
      </c>
      <c r="I327" s="10">
        <v>0</v>
      </c>
      <c r="J327" s="7" t="s">
        <v>93</v>
      </c>
      <c r="K327" s="7" t="s">
        <v>65</v>
      </c>
      <c r="L327" s="7" t="s">
        <v>90</v>
      </c>
      <c r="M327" s="11">
        <f t="shared" si="26"/>
        <v>3600</v>
      </c>
      <c r="N327" t="str">
        <f t="shared" si="27"/>
        <v>Jul</v>
      </c>
      <c r="O327">
        <f t="shared" si="28"/>
        <v>3</v>
      </c>
      <c r="P327">
        <f>VLOOKUP(F327,Products!A:C,3,FALSE)</f>
        <v>2232</v>
      </c>
      <c r="Q327" s="12">
        <f t="shared" si="29"/>
        <v>1368</v>
      </c>
    </row>
    <row r="328" ht="15">
      <c r="A328" s="7" t="s">
        <v>420</v>
      </c>
      <c r="B328" s="8">
        <v>45859</v>
      </c>
      <c r="C328" s="7" t="s">
        <v>33</v>
      </c>
      <c r="D328" s="7" t="s">
        <v>68</v>
      </c>
      <c r="E328" s="7" t="s">
        <v>24</v>
      </c>
      <c r="F328" s="7" t="s">
        <v>38</v>
      </c>
      <c r="G328" s="7">
        <v>2</v>
      </c>
      <c r="H328" s="9">
        <v>12500</v>
      </c>
      <c r="I328" s="10">
        <v>0</v>
      </c>
      <c r="J328" s="7" t="s">
        <v>89</v>
      </c>
      <c r="K328" s="7" t="s">
        <v>65</v>
      </c>
      <c r="L328" s="7" t="s">
        <v>66</v>
      </c>
      <c r="M328" s="11">
        <f t="shared" si="26"/>
        <v>25000</v>
      </c>
      <c r="N328" t="str">
        <f t="shared" si="27"/>
        <v>Jul</v>
      </c>
      <c r="O328">
        <f t="shared" si="28"/>
        <v>3</v>
      </c>
      <c r="P328">
        <f>VLOOKUP(F328,Products!A:C,3,FALSE)</f>
        <v>7750</v>
      </c>
      <c r="Q328" s="12">
        <f t="shared" si="29"/>
        <v>9500</v>
      </c>
    </row>
    <row r="329" ht="15">
      <c r="A329" s="7" t="s">
        <v>421</v>
      </c>
      <c r="B329" s="8">
        <v>45860</v>
      </c>
      <c r="C329" s="7" t="s">
        <v>40</v>
      </c>
      <c r="D329" s="7" t="s">
        <v>85</v>
      </c>
      <c r="E329" s="7" t="s">
        <v>29</v>
      </c>
      <c r="F329" s="7" t="s">
        <v>120</v>
      </c>
      <c r="G329" s="7">
        <v>3</v>
      </c>
      <c r="H329" s="9">
        <v>2300</v>
      </c>
      <c r="I329" s="10">
        <v>0</v>
      </c>
      <c r="J329" s="7" t="s">
        <v>70</v>
      </c>
      <c r="K329" s="7" t="s">
        <v>71</v>
      </c>
      <c r="L329" s="7" t="s">
        <v>78</v>
      </c>
      <c r="M329" s="11">
        <f t="shared" si="26"/>
        <v>6900</v>
      </c>
      <c r="N329" t="str">
        <f t="shared" si="27"/>
        <v>Jul</v>
      </c>
      <c r="O329">
        <f t="shared" si="28"/>
        <v>3</v>
      </c>
      <c r="P329">
        <f>VLOOKUP(F329,Products!A:C,3,FALSE)</f>
        <v>1426</v>
      </c>
      <c r="Q329" s="12">
        <f t="shared" si="29"/>
        <v>2622</v>
      </c>
    </row>
    <row r="330" ht="15">
      <c r="A330" s="7" t="s">
        <v>422</v>
      </c>
      <c r="B330" s="8">
        <v>45860</v>
      </c>
      <c r="C330" s="7" t="s">
        <v>40</v>
      </c>
      <c r="D330" s="7" t="s">
        <v>85</v>
      </c>
      <c r="E330" s="7" t="s">
        <v>19</v>
      </c>
      <c r="F330" s="7" t="s">
        <v>77</v>
      </c>
      <c r="G330" s="7">
        <v>4</v>
      </c>
      <c r="H330" s="9">
        <v>520</v>
      </c>
      <c r="I330" s="10">
        <v>0</v>
      </c>
      <c r="J330" s="7" t="s">
        <v>93</v>
      </c>
      <c r="K330" s="7" t="s">
        <v>71</v>
      </c>
      <c r="L330" s="7" t="s">
        <v>78</v>
      </c>
      <c r="M330" s="11">
        <f t="shared" si="26"/>
        <v>2080</v>
      </c>
      <c r="N330" t="str">
        <f t="shared" si="27"/>
        <v>Jul</v>
      </c>
      <c r="O330">
        <f t="shared" si="28"/>
        <v>3</v>
      </c>
      <c r="P330">
        <f>VLOOKUP(F330,Products!A:C,3,FALSE)</f>
        <v>322</v>
      </c>
      <c r="Q330" s="12">
        <f t="shared" si="29"/>
        <v>792</v>
      </c>
    </row>
    <row r="331" ht="15">
      <c r="A331" s="7" t="s">
        <v>423</v>
      </c>
      <c r="B331" s="8">
        <v>45861</v>
      </c>
      <c r="C331" s="7" t="s">
        <v>33</v>
      </c>
      <c r="D331" s="7" t="s">
        <v>68</v>
      </c>
      <c r="E331" s="7" t="s">
        <v>24</v>
      </c>
      <c r="F331" s="7" t="s">
        <v>96</v>
      </c>
      <c r="G331" s="7">
        <v>4</v>
      </c>
      <c r="H331" s="9">
        <v>1450</v>
      </c>
      <c r="I331" s="10">
        <v>0.10000000000000001</v>
      </c>
      <c r="J331" s="7" t="s">
        <v>93</v>
      </c>
      <c r="K331" s="7" t="s">
        <v>71</v>
      </c>
      <c r="L331" s="7" t="s">
        <v>74</v>
      </c>
      <c r="M331" s="11">
        <f t="shared" si="26"/>
        <v>5220</v>
      </c>
      <c r="N331" t="str">
        <f t="shared" si="27"/>
        <v>Jul</v>
      </c>
      <c r="O331">
        <f t="shared" si="28"/>
        <v>3</v>
      </c>
      <c r="P331">
        <f>VLOOKUP(F331,Products!A:C,3,FALSE)</f>
        <v>899</v>
      </c>
      <c r="Q331" s="12">
        <f t="shared" si="29"/>
        <v>1624</v>
      </c>
    </row>
    <row r="332" ht="15">
      <c r="A332" s="7" t="s">
        <v>424</v>
      </c>
      <c r="B332" s="8">
        <v>45862</v>
      </c>
      <c r="C332" s="7" t="s">
        <v>40</v>
      </c>
      <c r="D332" s="7" t="s">
        <v>80</v>
      </c>
      <c r="E332" s="7" t="s">
        <v>24</v>
      </c>
      <c r="F332" s="7" t="s">
        <v>35</v>
      </c>
      <c r="G332" s="7">
        <v>4</v>
      </c>
      <c r="H332" s="9">
        <v>8200</v>
      </c>
      <c r="I332" s="10">
        <v>0</v>
      </c>
      <c r="J332" s="7" t="s">
        <v>83</v>
      </c>
      <c r="K332" s="7" t="s">
        <v>71</v>
      </c>
      <c r="L332" s="7" t="s">
        <v>78</v>
      </c>
      <c r="M332" s="11">
        <f t="shared" si="26"/>
        <v>32800</v>
      </c>
      <c r="N332" t="str">
        <f t="shared" si="27"/>
        <v>Jul</v>
      </c>
      <c r="O332">
        <f t="shared" si="28"/>
        <v>3</v>
      </c>
      <c r="P332">
        <f>VLOOKUP(F332,Products!A:C,3,FALSE)</f>
        <v>5084</v>
      </c>
      <c r="Q332" s="12">
        <f t="shared" si="29"/>
        <v>12464</v>
      </c>
    </row>
    <row r="333" ht="15">
      <c r="A333" s="7" t="s">
        <v>425</v>
      </c>
      <c r="B333" s="8">
        <v>45863</v>
      </c>
      <c r="C333" s="7" t="s">
        <v>40</v>
      </c>
      <c r="D333" s="7" t="s">
        <v>98</v>
      </c>
      <c r="E333" s="7" t="s">
        <v>24</v>
      </c>
      <c r="F333" s="7" t="s">
        <v>31</v>
      </c>
      <c r="G333" s="7">
        <v>1</v>
      </c>
      <c r="H333" s="9">
        <v>5400</v>
      </c>
      <c r="I333" s="10">
        <v>0</v>
      </c>
      <c r="J333" s="7" t="s">
        <v>103</v>
      </c>
      <c r="K333" s="7" t="s">
        <v>65</v>
      </c>
      <c r="L333" s="7" t="s">
        <v>66</v>
      </c>
      <c r="M333" s="11">
        <f t="shared" si="26"/>
        <v>5400</v>
      </c>
      <c r="N333" t="str">
        <f t="shared" si="27"/>
        <v>Jul</v>
      </c>
      <c r="O333">
        <f t="shared" si="28"/>
        <v>3</v>
      </c>
      <c r="P333">
        <f>VLOOKUP(F333,Products!A:C,3,FALSE)</f>
        <v>3348</v>
      </c>
      <c r="Q333" s="12">
        <f t="shared" si="29"/>
        <v>2052</v>
      </c>
    </row>
    <row r="334" ht="15">
      <c r="A334" s="7" t="s">
        <v>426</v>
      </c>
      <c r="B334" s="8">
        <v>45863</v>
      </c>
      <c r="C334" s="7" t="s">
        <v>40</v>
      </c>
      <c r="D334" s="7" t="s">
        <v>85</v>
      </c>
      <c r="E334" s="7" t="s">
        <v>19</v>
      </c>
      <c r="F334" s="7" t="s">
        <v>73</v>
      </c>
      <c r="G334" s="7">
        <v>4</v>
      </c>
      <c r="H334" s="9">
        <v>650</v>
      </c>
      <c r="I334" s="10">
        <v>0.10000000000000001</v>
      </c>
      <c r="J334" s="7" t="s">
        <v>70</v>
      </c>
      <c r="K334" s="7" t="s">
        <v>65</v>
      </c>
      <c r="L334" s="7" t="s">
        <v>78</v>
      </c>
      <c r="M334" s="11">
        <f t="shared" si="26"/>
        <v>2340</v>
      </c>
      <c r="N334" t="str">
        <f t="shared" si="27"/>
        <v>Jul</v>
      </c>
      <c r="O334">
        <f t="shared" si="28"/>
        <v>3</v>
      </c>
      <c r="P334">
        <f>VLOOKUP(F334,Products!A:C,3,FALSE)</f>
        <v>403</v>
      </c>
      <c r="Q334" s="12">
        <f t="shared" si="29"/>
        <v>728</v>
      </c>
    </row>
    <row r="335" ht="15">
      <c r="A335" s="7" t="s">
        <v>427</v>
      </c>
      <c r="B335" s="8">
        <v>45863</v>
      </c>
      <c r="C335" s="7" t="s">
        <v>40</v>
      </c>
      <c r="D335" s="7" t="s">
        <v>85</v>
      </c>
      <c r="E335" s="7" t="s">
        <v>34</v>
      </c>
      <c r="F335" s="7" t="s">
        <v>86</v>
      </c>
      <c r="G335" s="7">
        <v>36</v>
      </c>
      <c r="H335" s="9">
        <v>210</v>
      </c>
      <c r="I335" s="10">
        <v>0.10000000000000001</v>
      </c>
      <c r="J335" s="7" t="s">
        <v>70</v>
      </c>
      <c r="K335" s="7" t="s">
        <v>65</v>
      </c>
      <c r="L335" s="7" t="s">
        <v>90</v>
      </c>
      <c r="M335" s="11">
        <f t="shared" si="26"/>
        <v>6804</v>
      </c>
      <c r="N335" t="str">
        <f t="shared" si="27"/>
        <v>Jul</v>
      </c>
      <c r="O335">
        <f t="shared" si="28"/>
        <v>3</v>
      </c>
      <c r="P335">
        <f>VLOOKUP(F335,Products!A:C,3,FALSE)</f>
        <v>130</v>
      </c>
      <c r="Q335" s="12">
        <f t="shared" si="29"/>
        <v>2124</v>
      </c>
    </row>
    <row r="336" ht="15">
      <c r="A336" s="7" t="s">
        <v>428</v>
      </c>
      <c r="B336" s="8">
        <v>45864</v>
      </c>
      <c r="C336" s="7" t="s">
        <v>33</v>
      </c>
      <c r="D336" s="7" t="s">
        <v>68</v>
      </c>
      <c r="E336" s="7" t="s">
        <v>34</v>
      </c>
      <c r="F336" s="7" t="s">
        <v>92</v>
      </c>
      <c r="G336" s="7">
        <v>15</v>
      </c>
      <c r="H336" s="9">
        <v>85</v>
      </c>
      <c r="I336" s="10">
        <v>0</v>
      </c>
      <c r="J336" s="7" t="s">
        <v>89</v>
      </c>
      <c r="K336" s="7" t="s">
        <v>71</v>
      </c>
      <c r="L336" s="7" t="s">
        <v>78</v>
      </c>
      <c r="M336" s="11">
        <f t="shared" si="26"/>
        <v>1275</v>
      </c>
      <c r="N336" t="str">
        <f t="shared" si="27"/>
        <v>Jul</v>
      </c>
      <c r="O336">
        <f t="shared" si="28"/>
        <v>3</v>
      </c>
      <c r="P336">
        <f>VLOOKUP(F336,Products!A:C,3,FALSE)</f>
        <v>53</v>
      </c>
      <c r="Q336" s="12">
        <f t="shared" si="29"/>
        <v>480</v>
      </c>
    </row>
    <row r="337" ht="15">
      <c r="A337" s="7" t="s">
        <v>429</v>
      </c>
      <c r="B337" s="8">
        <v>45865</v>
      </c>
      <c r="C337" s="7" t="s">
        <v>40</v>
      </c>
      <c r="D337" s="7" t="s">
        <v>98</v>
      </c>
      <c r="E337" s="7" t="s">
        <v>24</v>
      </c>
      <c r="F337" s="7" t="s">
        <v>26</v>
      </c>
      <c r="G337" s="7">
        <v>2</v>
      </c>
      <c r="H337" s="9">
        <v>3100</v>
      </c>
      <c r="I337" s="10">
        <v>0.10000000000000001</v>
      </c>
      <c r="J337" s="7" t="s">
        <v>64</v>
      </c>
      <c r="K337" s="7" t="s">
        <v>71</v>
      </c>
      <c r="L337" s="7" t="s">
        <v>74</v>
      </c>
      <c r="M337" s="11">
        <f t="shared" si="26"/>
        <v>5580</v>
      </c>
      <c r="N337" t="str">
        <f t="shared" si="27"/>
        <v>Jul</v>
      </c>
      <c r="O337">
        <f t="shared" si="28"/>
        <v>3</v>
      </c>
      <c r="P337">
        <f>VLOOKUP(F337,Products!A:C,3,FALSE)</f>
        <v>1922</v>
      </c>
      <c r="Q337" s="12">
        <f t="shared" si="29"/>
        <v>1736</v>
      </c>
    </row>
    <row r="338" ht="15">
      <c r="A338" s="7" t="s">
        <v>430</v>
      </c>
      <c r="B338" s="8">
        <v>45866</v>
      </c>
      <c r="C338" s="7" t="s">
        <v>40</v>
      </c>
      <c r="D338" s="7" t="s">
        <v>80</v>
      </c>
      <c r="E338" s="7" t="s">
        <v>34</v>
      </c>
      <c r="F338" s="7" t="s">
        <v>86</v>
      </c>
      <c r="G338" s="7">
        <v>31</v>
      </c>
      <c r="H338" s="9">
        <v>210</v>
      </c>
      <c r="I338" s="10">
        <v>0.10000000000000001</v>
      </c>
      <c r="J338" s="7" t="s">
        <v>103</v>
      </c>
      <c r="K338" s="7" t="s">
        <v>71</v>
      </c>
      <c r="L338" s="7" t="s">
        <v>78</v>
      </c>
      <c r="M338" s="11">
        <f t="shared" si="26"/>
        <v>5859</v>
      </c>
      <c r="N338" t="str">
        <f t="shared" si="27"/>
        <v>Jul</v>
      </c>
      <c r="O338">
        <f t="shared" si="28"/>
        <v>3</v>
      </c>
      <c r="P338">
        <f>VLOOKUP(F338,Products!A:C,3,FALSE)</f>
        <v>130</v>
      </c>
      <c r="Q338" s="12">
        <f t="shared" si="29"/>
        <v>1829</v>
      </c>
    </row>
    <row r="339" ht="15">
      <c r="A339" s="7" t="s">
        <v>431</v>
      </c>
      <c r="B339" s="8">
        <v>45866</v>
      </c>
      <c r="C339" s="7" t="s">
        <v>18</v>
      </c>
      <c r="D339" s="7" t="s">
        <v>63</v>
      </c>
      <c r="E339" s="7" t="s">
        <v>29</v>
      </c>
      <c r="F339" s="7" t="s">
        <v>81</v>
      </c>
      <c r="G339" s="7">
        <v>1</v>
      </c>
      <c r="H339" s="9">
        <v>1900</v>
      </c>
      <c r="I339" s="10">
        <v>0</v>
      </c>
      <c r="J339" s="7" t="s">
        <v>93</v>
      </c>
      <c r="K339" s="7" t="s">
        <v>65</v>
      </c>
      <c r="L339" s="7" t="s">
        <v>66</v>
      </c>
      <c r="M339" s="11">
        <f t="shared" si="26"/>
        <v>1900</v>
      </c>
      <c r="N339" t="str">
        <f t="shared" si="27"/>
        <v>Jul</v>
      </c>
      <c r="O339">
        <f t="shared" si="28"/>
        <v>3</v>
      </c>
      <c r="P339">
        <f>VLOOKUP(F339,Products!A:C,3,FALSE)</f>
        <v>1178</v>
      </c>
      <c r="Q339" s="12">
        <f t="shared" si="29"/>
        <v>722</v>
      </c>
    </row>
    <row r="340" ht="15">
      <c r="A340" s="7" t="s">
        <v>432</v>
      </c>
      <c r="B340" s="8">
        <v>45866</v>
      </c>
      <c r="C340" s="7" t="s">
        <v>28</v>
      </c>
      <c r="D340" s="7" t="s">
        <v>112</v>
      </c>
      <c r="E340" s="7" t="s">
        <v>19</v>
      </c>
      <c r="F340" s="7" t="s">
        <v>73</v>
      </c>
      <c r="G340" s="7">
        <v>4</v>
      </c>
      <c r="H340" s="9">
        <v>650</v>
      </c>
      <c r="I340" s="10">
        <v>5.0000000000000003e-002</v>
      </c>
      <c r="J340" s="7" t="s">
        <v>93</v>
      </c>
      <c r="K340" s="7" t="s">
        <v>65</v>
      </c>
      <c r="L340" s="7" t="s">
        <v>74</v>
      </c>
      <c r="M340" s="11">
        <f t="shared" si="26"/>
        <v>2470</v>
      </c>
      <c r="N340" t="str">
        <f t="shared" si="27"/>
        <v>Jul</v>
      </c>
      <c r="O340">
        <f t="shared" si="28"/>
        <v>3</v>
      </c>
      <c r="P340">
        <f>VLOOKUP(F340,Products!A:C,3,FALSE)</f>
        <v>403</v>
      </c>
      <c r="Q340" s="12">
        <f t="shared" si="29"/>
        <v>858</v>
      </c>
    </row>
    <row r="341" ht="15">
      <c r="A341" s="7" t="s">
        <v>433</v>
      </c>
      <c r="B341" s="8">
        <v>45867</v>
      </c>
      <c r="C341" s="7" t="s">
        <v>40</v>
      </c>
      <c r="D341" s="7" t="s">
        <v>80</v>
      </c>
      <c r="E341" s="7" t="s">
        <v>29</v>
      </c>
      <c r="F341" s="7" t="s">
        <v>81</v>
      </c>
      <c r="G341" s="7">
        <v>4</v>
      </c>
      <c r="H341" s="9">
        <v>1900</v>
      </c>
      <c r="I341" s="10">
        <v>0.10000000000000001</v>
      </c>
      <c r="J341" s="7" t="s">
        <v>103</v>
      </c>
      <c r="K341" s="7" t="s">
        <v>65</v>
      </c>
      <c r="L341" s="7" t="s">
        <v>66</v>
      </c>
      <c r="M341" s="11">
        <f t="shared" si="26"/>
        <v>6840</v>
      </c>
      <c r="N341" t="str">
        <f t="shared" si="27"/>
        <v>Jul</v>
      </c>
      <c r="O341">
        <f t="shared" si="28"/>
        <v>3</v>
      </c>
      <c r="P341">
        <f>VLOOKUP(F341,Products!A:C,3,FALSE)</f>
        <v>1178</v>
      </c>
      <c r="Q341" s="12">
        <f t="shared" si="29"/>
        <v>2128</v>
      </c>
    </row>
    <row r="342" ht="15">
      <c r="A342" s="7" t="s">
        <v>434</v>
      </c>
      <c r="B342" s="8">
        <v>45868</v>
      </c>
      <c r="C342" s="7" t="s">
        <v>36</v>
      </c>
      <c r="D342" s="7" t="s">
        <v>76</v>
      </c>
      <c r="E342" s="7" t="s">
        <v>34</v>
      </c>
      <c r="F342" s="7" t="s">
        <v>69</v>
      </c>
      <c r="G342" s="7">
        <v>24</v>
      </c>
      <c r="H342" s="9">
        <v>120</v>
      </c>
      <c r="I342" s="10">
        <v>0.14999999999999999</v>
      </c>
      <c r="J342" s="7" t="s">
        <v>103</v>
      </c>
      <c r="K342" s="7" t="s">
        <v>65</v>
      </c>
      <c r="L342" s="7" t="s">
        <v>66</v>
      </c>
      <c r="M342" s="11">
        <f t="shared" si="26"/>
        <v>2448</v>
      </c>
      <c r="N342" t="str">
        <f t="shared" si="27"/>
        <v>Jul</v>
      </c>
      <c r="O342">
        <f t="shared" si="28"/>
        <v>3</v>
      </c>
      <c r="P342">
        <f>VLOOKUP(F342,Products!A:C,3,FALSE)</f>
        <v>74</v>
      </c>
      <c r="Q342" s="12">
        <f t="shared" si="29"/>
        <v>672</v>
      </c>
    </row>
    <row r="343" ht="15">
      <c r="A343" s="7" t="s">
        <v>435</v>
      </c>
      <c r="B343" s="8">
        <v>45868</v>
      </c>
      <c r="C343" s="7" t="s">
        <v>36</v>
      </c>
      <c r="D343" s="7" t="s">
        <v>76</v>
      </c>
      <c r="E343" s="7" t="s">
        <v>24</v>
      </c>
      <c r="F343" s="7" t="s">
        <v>26</v>
      </c>
      <c r="G343" s="7">
        <v>3</v>
      </c>
      <c r="H343" s="9">
        <v>3100</v>
      </c>
      <c r="I343" s="10">
        <v>0.14999999999999999</v>
      </c>
      <c r="J343" s="7" t="s">
        <v>89</v>
      </c>
      <c r="K343" s="7" t="s">
        <v>71</v>
      </c>
      <c r="L343" s="7" t="s">
        <v>66</v>
      </c>
      <c r="M343" s="11">
        <f t="shared" si="26"/>
        <v>7905</v>
      </c>
      <c r="N343" t="str">
        <f t="shared" si="27"/>
        <v>Jul</v>
      </c>
      <c r="O343">
        <f t="shared" si="28"/>
        <v>3</v>
      </c>
      <c r="P343">
        <f>VLOOKUP(F343,Products!A:C,3,FALSE)</f>
        <v>1922</v>
      </c>
      <c r="Q343" s="12">
        <f t="shared" si="29"/>
        <v>2139</v>
      </c>
    </row>
    <row r="344" ht="15">
      <c r="A344" s="7" t="s">
        <v>436</v>
      </c>
      <c r="B344" s="8">
        <v>45870</v>
      </c>
      <c r="C344" s="7" t="s">
        <v>40</v>
      </c>
      <c r="D344" s="7" t="s">
        <v>98</v>
      </c>
      <c r="E344" s="7" t="s">
        <v>24</v>
      </c>
      <c r="F344" s="7" t="s">
        <v>96</v>
      </c>
      <c r="G344" s="7">
        <v>1</v>
      </c>
      <c r="H344" s="9">
        <v>1450</v>
      </c>
      <c r="I344" s="10">
        <v>0.10000000000000001</v>
      </c>
      <c r="J344" s="7" t="s">
        <v>70</v>
      </c>
      <c r="K344" s="7" t="s">
        <v>71</v>
      </c>
      <c r="L344" s="7" t="s">
        <v>74</v>
      </c>
      <c r="M344" s="11">
        <f t="shared" si="26"/>
        <v>1305</v>
      </c>
      <c r="N344" t="str">
        <f t="shared" si="27"/>
        <v>Aug</v>
      </c>
      <c r="O344">
        <f t="shared" si="28"/>
        <v>3</v>
      </c>
      <c r="P344">
        <f>VLOOKUP(F344,Products!A:C,3,FALSE)</f>
        <v>899</v>
      </c>
      <c r="Q344" s="12">
        <f t="shared" si="29"/>
        <v>406</v>
      </c>
    </row>
    <row r="345" ht="15">
      <c r="A345" s="7" t="s">
        <v>437</v>
      </c>
      <c r="B345" s="8">
        <v>45870</v>
      </c>
      <c r="C345" s="7" t="s">
        <v>40</v>
      </c>
      <c r="D345" s="7" t="s">
        <v>85</v>
      </c>
      <c r="E345" s="7" t="s">
        <v>19</v>
      </c>
      <c r="F345" s="7" t="s">
        <v>73</v>
      </c>
      <c r="G345" s="7">
        <v>3</v>
      </c>
      <c r="H345" s="9">
        <v>650</v>
      </c>
      <c r="I345" s="10">
        <v>0</v>
      </c>
      <c r="J345" s="7" t="s">
        <v>70</v>
      </c>
      <c r="K345" s="7" t="s">
        <v>65</v>
      </c>
      <c r="L345" s="7" t="s">
        <v>78</v>
      </c>
      <c r="M345" s="11">
        <f t="shared" si="26"/>
        <v>1950</v>
      </c>
      <c r="N345" t="str">
        <f t="shared" si="27"/>
        <v>Aug</v>
      </c>
      <c r="O345">
        <f t="shared" si="28"/>
        <v>3</v>
      </c>
      <c r="P345">
        <f>VLOOKUP(F345,Products!A:C,3,FALSE)</f>
        <v>403</v>
      </c>
      <c r="Q345" s="12">
        <f t="shared" si="29"/>
        <v>741</v>
      </c>
    </row>
    <row r="346" ht="15">
      <c r="A346" s="7" t="s">
        <v>438</v>
      </c>
      <c r="B346" s="8">
        <v>45871</v>
      </c>
      <c r="C346" s="7" t="s">
        <v>36</v>
      </c>
      <c r="D346" s="7" t="s">
        <v>114</v>
      </c>
      <c r="E346" s="7" t="s">
        <v>34</v>
      </c>
      <c r="F346" s="7" t="s">
        <v>92</v>
      </c>
      <c r="G346" s="7">
        <v>26</v>
      </c>
      <c r="H346" s="9">
        <v>85</v>
      </c>
      <c r="I346" s="10">
        <v>0.14999999999999999</v>
      </c>
      <c r="J346" s="7" t="s">
        <v>89</v>
      </c>
      <c r="K346" s="7" t="s">
        <v>65</v>
      </c>
      <c r="L346" s="7" t="s">
        <v>90</v>
      </c>
      <c r="M346" s="11">
        <f t="shared" si="26"/>
        <v>1878.5</v>
      </c>
      <c r="N346" t="str">
        <f t="shared" si="27"/>
        <v>Aug</v>
      </c>
      <c r="O346">
        <f t="shared" si="28"/>
        <v>3</v>
      </c>
      <c r="P346">
        <f>VLOOKUP(F346,Products!A:C,3,FALSE)</f>
        <v>53</v>
      </c>
      <c r="Q346" s="12">
        <f t="shared" si="29"/>
        <v>500.5</v>
      </c>
    </row>
    <row r="347" ht="15">
      <c r="A347" s="7" t="s">
        <v>439</v>
      </c>
      <c r="B347" s="8">
        <v>45872</v>
      </c>
      <c r="C347" s="7" t="s">
        <v>40</v>
      </c>
      <c r="D347" s="7" t="s">
        <v>85</v>
      </c>
      <c r="E347" s="7" t="s">
        <v>34</v>
      </c>
      <c r="F347" s="7" t="s">
        <v>86</v>
      </c>
      <c r="G347" s="7">
        <v>15</v>
      </c>
      <c r="H347" s="9">
        <v>210</v>
      </c>
      <c r="I347" s="10">
        <v>0.14999999999999999</v>
      </c>
      <c r="J347" s="7" t="s">
        <v>83</v>
      </c>
      <c r="K347" s="7" t="s">
        <v>65</v>
      </c>
      <c r="L347" s="7" t="s">
        <v>78</v>
      </c>
      <c r="M347" s="11">
        <f t="shared" si="26"/>
        <v>2677.5</v>
      </c>
      <c r="N347" t="str">
        <f t="shared" si="27"/>
        <v>Aug</v>
      </c>
      <c r="O347">
        <f t="shared" si="28"/>
        <v>3</v>
      </c>
      <c r="P347">
        <f>VLOOKUP(F347,Products!A:C,3,FALSE)</f>
        <v>130</v>
      </c>
      <c r="Q347" s="12">
        <f t="shared" si="29"/>
        <v>727.5</v>
      </c>
    </row>
    <row r="348" ht="15">
      <c r="A348" s="7" t="s">
        <v>440</v>
      </c>
      <c r="B348" s="8">
        <v>45872</v>
      </c>
      <c r="C348" s="7" t="s">
        <v>40</v>
      </c>
      <c r="D348" s="7" t="s">
        <v>85</v>
      </c>
      <c r="E348" s="7" t="s">
        <v>29</v>
      </c>
      <c r="F348" s="7" t="s">
        <v>81</v>
      </c>
      <c r="G348" s="7">
        <v>2</v>
      </c>
      <c r="H348" s="9">
        <v>1900</v>
      </c>
      <c r="I348" s="10">
        <v>0.14999999999999999</v>
      </c>
      <c r="J348" s="7" t="s">
        <v>93</v>
      </c>
      <c r="K348" s="7" t="s">
        <v>71</v>
      </c>
      <c r="L348" s="7" t="s">
        <v>74</v>
      </c>
      <c r="M348" s="11">
        <f t="shared" si="26"/>
        <v>3230</v>
      </c>
      <c r="N348" t="str">
        <f t="shared" si="27"/>
        <v>Aug</v>
      </c>
      <c r="O348">
        <f t="shared" si="28"/>
        <v>3</v>
      </c>
      <c r="P348">
        <f>VLOOKUP(F348,Products!A:C,3,FALSE)</f>
        <v>1178</v>
      </c>
      <c r="Q348" s="12">
        <f t="shared" si="29"/>
        <v>874</v>
      </c>
    </row>
    <row r="349" ht="15">
      <c r="A349" s="7" t="s">
        <v>441</v>
      </c>
      <c r="B349" s="8">
        <v>45873</v>
      </c>
      <c r="C349" s="7" t="s">
        <v>40</v>
      </c>
      <c r="D349" s="7" t="s">
        <v>85</v>
      </c>
      <c r="E349" s="7" t="s">
        <v>29</v>
      </c>
      <c r="F349" s="7" t="s">
        <v>120</v>
      </c>
      <c r="G349" s="7">
        <v>4</v>
      </c>
      <c r="H349" s="9">
        <v>2300</v>
      </c>
      <c r="I349" s="10">
        <v>0</v>
      </c>
      <c r="J349" s="7" t="s">
        <v>93</v>
      </c>
      <c r="K349" s="7" t="s">
        <v>65</v>
      </c>
      <c r="L349" s="7" t="s">
        <v>66</v>
      </c>
      <c r="M349" s="11">
        <f t="shared" si="26"/>
        <v>9200</v>
      </c>
      <c r="N349" t="str">
        <f t="shared" si="27"/>
        <v>Aug</v>
      </c>
      <c r="O349">
        <f t="shared" si="28"/>
        <v>3</v>
      </c>
      <c r="P349">
        <f>VLOOKUP(F349,Products!A:C,3,FALSE)</f>
        <v>1426</v>
      </c>
      <c r="Q349" s="12">
        <f t="shared" si="29"/>
        <v>3496</v>
      </c>
    </row>
    <row r="350" ht="15">
      <c r="A350" s="7" t="s">
        <v>442</v>
      </c>
      <c r="B350" s="8">
        <v>45873</v>
      </c>
      <c r="C350" s="7" t="s">
        <v>23</v>
      </c>
      <c r="D350" s="7" t="s">
        <v>105</v>
      </c>
      <c r="E350" s="7" t="s">
        <v>29</v>
      </c>
      <c r="F350" s="7" t="s">
        <v>81</v>
      </c>
      <c r="G350" s="7">
        <v>1</v>
      </c>
      <c r="H350" s="9">
        <v>1900</v>
      </c>
      <c r="I350" s="10">
        <v>0.14999999999999999</v>
      </c>
      <c r="J350" s="7" t="s">
        <v>83</v>
      </c>
      <c r="K350" s="7" t="s">
        <v>65</v>
      </c>
      <c r="L350" s="7" t="s">
        <v>78</v>
      </c>
      <c r="M350" s="11">
        <f t="shared" si="26"/>
        <v>1615</v>
      </c>
      <c r="N350" t="str">
        <f t="shared" si="27"/>
        <v>Aug</v>
      </c>
      <c r="O350">
        <f t="shared" si="28"/>
        <v>3</v>
      </c>
      <c r="P350">
        <f>VLOOKUP(F350,Products!A:C,3,FALSE)</f>
        <v>1178</v>
      </c>
      <c r="Q350" s="12">
        <f t="shared" si="29"/>
        <v>437</v>
      </c>
    </row>
    <row r="351" ht="15">
      <c r="A351" s="7" t="s">
        <v>443</v>
      </c>
      <c r="B351" s="8">
        <v>45873</v>
      </c>
      <c r="C351" s="7" t="s">
        <v>18</v>
      </c>
      <c r="D351" s="7" t="s">
        <v>63</v>
      </c>
      <c r="E351" s="7" t="s">
        <v>29</v>
      </c>
      <c r="F351" s="7" t="s">
        <v>81</v>
      </c>
      <c r="G351" s="7">
        <v>4</v>
      </c>
      <c r="H351" s="9">
        <v>1900</v>
      </c>
      <c r="I351" s="10">
        <v>0.10000000000000001</v>
      </c>
      <c r="J351" s="7" t="s">
        <v>93</v>
      </c>
      <c r="K351" s="7" t="s">
        <v>65</v>
      </c>
      <c r="L351" s="7" t="s">
        <v>74</v>
      </c>
      <c r="M351" s="11">
        <f t="shared" si="26"/>
        <v>6840</v>
      </c>
      <c r="N351" t="str">
        <f t="shared" si="27"/>
        <v>Aug</v>
      </c>
      <c r="O351">
        <f t="shared" si="28"/>
        <v>3</v>
      </c>
      <c r="P351">
        <f>VLOOKUP(F351,Products!A:C,3,FALSE)</f>
        <v>1178</v>
      </c>
      <c r="Q351" s="12">
        <f t="shared" si="29"/>
        <v>2128</v>
      </c>
    </row>
    <row r="352" ht="15">
      <c r="A352" s="7" t="s">
        <v>444</v>
      </c>
      <c r="B352" s="8">
        <v>45874</v>
      </c>
      <c r="C352" s="7" t="s">
        <v>28</v>
      </c>
      <c r="D352" s="7" t="s">
        <v>112</v>
      </c>
      <c r="E352" s="7" t="s">
        <v>24</v>
      </c>
      <c r="F352" s="7" t="s">
        <v>31</v>
      </c>
      <c r="G352" s="7">
        <v>4</v>
      </c>
      <c r="H352" s="9">
        <v>5400</v>
      </c>
      <c r="I352" s="10">
        <v>0.10000000000000001</v>
      </c>
      <c r="J352" s="7" t="s">
        <v>70</v>
      </c>
      <c r="K352" s="7" t="s">
        <v>65</v>
      </c>
      <c r="L352" s="7" t="s">
        <v>74</v>
      </c>
      <c r="M352" s="11">
        <f t="shared" si="26"/>
        <v>19440</v>
      </c>
      <c r="N352" t="str">
        <f t="shared" si="27"/>
        <v>Aug</v>
      </c>
      <c r="O352">
        <f t="shared" si="28"/>
        <v>3</v>
      </c>
      <c r="P352">
        <f>VLOOKUP(F352,Products!A:C,3,FALSE)</f>
        <v>3348</v>
      </c>
      <c r="Q352" s="12">
        <f t="shared" si="29"/>
        <v>6048</v>
      </c>
    </row>
    <row r="353" ht="15">
      <c r="A353" s="7" t="s">
        <v>445</v>
      </c>
      <c r="B353" s="8">
        <v>45874</v>
      </c>
      <c r="C353" s="7" t="s">
        <v>40</v>
      </c>
      <c r="D353" s="7" t="s">
        <v>85</v>
      </c>
      <c r="E353" s="7" t="s">
        <v>19</v>
      </c>
      <c r="F353" s="7" t="s">
        <v>106</v>
      </c>
      <c r="G353" s="7">
        <v>2</v>
      </c>
      <c r="H353" s="9">
        <v>180</v>
      </c>
      <c r="I353" s="10">
        <v>0</v>
      </c>
      <c r="J353" s="7" t="s">
        <v>89</v>
      </c>
      <c r="K353" s="7" t="s">
        <v>65</v>
      </c>
      <c r="L353" s="7" t="s">
        <v>90</v>
      </c>
      <c r="M353" s="11">
        <f t="shared" si="26"/>
        <v>360</v>
      </c>
      <c r="N353" t="str">
        <f t="shared" si="27"/>
        <v>Aug</v>
      </c>
      <c r="O353">
        <f t="shared" si="28"/>
        <v>3</v>
      </c>
      <c r="P353">
        <f>VLOOKUP(F353,Products!A:C,3,FALSE)</f>
        <v>112</v>
      </c>
      <c r="Q353" s="12">
        <f t="shared" si="29"/>
        <v>136</v>
      </c>
    </row>
    <row r="354" ht="15">
      <c r="A354" s="7" t="s">
        <v>446</v>
      </c>
      <c r="B354" s="8">
        <v>45874</v>
      </c>
      <c r="C354" s="7" t="s">
        <v>40</v>
      </c>
      <c r="D354" s="7" t="s">
        <v>98</v>
      </c>
      <c r="E354" s="7" t="s">
        <v>24</v>
      </c>
      <c r="F354" s="7" t="s">
        <v>26</v>
      </c>
      <c r="G354" s="7">
        <v>2</v>
      </c>
      <c r="H354" s="9">
        <v>3100</v>
      </c>
      <c r="I354" s="10">
        <v>5.0000000000000003e-002</v>
      </c>
      <c r="J354" s="7" t="s">
        <v>103</v>
      </c>
      <c r="K354" s="7" t="s">
        <v>65</v>
      </c>
      <c r="L354" s="7" t="s">
        <v>90</v>
      </c>
      <c r="M354" s="11">
        <f t="shared" si="26"/>
        <v>5890</v>
      </c>
      <c r="N354" t="str">
        <f t="shared" si="27"/>
        <v>Aug</v>
      </c>
      <c r="O354">
        <f t="shared" si="28"/>
        <v>3</v>
      </c>
      <c r="P354">
        <f>VLOOKUP(F354,Products!A:C,3,FALSE)</f>
        <v>1922</v>
      </c>
      <c r="Q354" s="12">
        <f t="shared" si="29"/>
        <v>2046</v>
      </c>
    </row>
    <row r="355" ht="15">
      <c r="A355" s="7" t="s">
        <v>447</v>
      </c>
      <c r="B355" s="8">
        <v>45874</v>
      </c>
      <c r="C355" s="7" t="s">
        <v>33</v>
      </c>
      <c r="D355" s="7" t="s">
        <v>68</v>
      </c>
      <c r="E355" s="7" t="s">
        <v>34</v>
      </c>
      <c r="F355" s="7" t="s">
        <v>86</v>
      </c>
      <c r="G355" s="7">
        <v>35</v>
      </c>
      <c r="H355" s="9">
        <v>210</v>
      </c>
      <c r="I355" s="10">
        <v>5.0000000000000003e-002</v>
      </c>
      <c r="J355" s="7" t="s">
        <v>103</v>
      </c>
      <c r="K355" s="7" t="s">
        <v>65</v>
      </c>
      <c r="L355" s="7" t="s">
        <v>74</v>
      </c>
      <c r="M355" s="11">
        <f t="shared" si="26"/>
        <v>6982.5</v>
      </c>
      <c r="N355" t="str">
        <f t="shared" si="27"/>
        <v>Aug</v>
      </c>
      <c r="O355">
        <f t="shared" si="28"/>
        <v>3</v>
      </c>
      <c r="P355">
        <f>VLOOKUP(F355,Products!A:C,3,FALSE)</f>
        <v>130</v>
      </c>
      <c r="Q355" s="12">
        <f t="shared" si="29"/>
        <v>2432.5</v>
      </c>
    </row>
    <row r="356" ht="15">
      <c r="A356" s="7" t="s">
        <v>448</v>
      </c>
      <c r="B356" s="8">
        <v>45875</v>
      </c>
      <c r="C356" s="7" t="s">
        <v>40</v>
      </c>
      <c r="D356" s="7" t="s">
        <v>98</v>
      </c>
      <c r="E356" s="7" t="s">
        <v>19</v>
      </c>
      <c r="F356" s="7" t="s">
        <v>73</v>
      </c>
      <c r="G356" s="7">
        <v>3</v>
      </c>
      <c r="H356" s="9">
        <v>650</v>
      </c>
      <c r="I356" s="10">
        <v>0.10000000000000001</v>
      </c>
      <c r="J356" s="7" t="s">
        <v>64</v>
      </c>
      <c r="K356" s="7" t="s">
        <v>65</v>
      </c>
      <c r="L356" s="7" t="s">
        <v>78</v>
      </c>
      <c r="M356" s="11">
        <f t="shared" ref="M356:M419" si="30">G356*H356*(1-I356)</f>
        <v>1755</v>
      </c>
      <c r="N356" t="str">
        <f t="shared" ref="N356:N419" si="31">TEXT(B356,"mmm")</f>
        <v>Aug</v>
      </c>
      <c r="O356">
        <f t="shared" ref="O356:O419" si="32">ROUNDUP(MONTH(B356)/3,0)</f>
        <v>3</v>
      </c>
      <c r="P356">
        <f>VLOOKUP(F356,Products!A:C,3,FALSE)</f>
        <v>403</v>
      </c>
      <c r="Q356" s="12">
        <f t="shared" ref="Q356:Q419" si="33">M356-(G356*P356)</f>
        <v>546</v>
      </c>
    </row>
    <row r="357" ht="15">
      <c r="A357" s="7" t="s">
        <v>449</v>
      </c>
      <c r="B357" s="8">
        <v>45875</v>
      </c>
      <c r="C357" s="7" t="s">
        <v>36</v>
      </c>
      <c r="D357" s="7" t="s">
        <v>114</v>
      </c>
      <c r="E357" s="7" t="s">
        <v>34</v>
      </c>
      <c r="F357" s="7" t="s">
        <v>86</v>
      </c>
      <c r="G357" s="7">
        <v>27</v>
      </c>
      <c r="H357" s="9">
        <v>210</v>
      </c>
      <c r="I357" s="10">
        <v>0</v>
      </c>
      <c r="J357" s="7" t="s">
        <v>64</v>
      </c>
      <c r="K357" s="7" t="s">
        <v>65</v>
      </c>
      <c r="L357" s="7" t="s">
        <v>66</v>
      </c>
      <c r="M357" s="11">
        <f t="shared" si="30"/>
        <v>5670</v>
      </c>
      <c r="N357" t="str">
        <f t="shared" si="31"/>
        <v>Aug</v>
      </c>
      <c r="O357">
        <f t="shared" si="32"/>
        <v>3</v>
      </c>
      <c r="P357">
        <f>VLOOKUP(F357,Products!A:C,3,FALSE)</f>
        <v>130</v>
      </c>
      <c r="Q357" s="12">
        <f t="shared" si="33"/>
        <v>2160</v>
      </c>
    </row>
    <row r="358" ht="15">
      <c r="A358" s="7" t="s">
        <v>450</v>
      </c>
      <c r="B358" s="8">
        <v>45876</v>
      </c>
      <c r="C358" s="7" t="s">
        <v>40</v>
      </c>
      <c r="D358" s="7" t="s">
        <v>98</v>
      </c>
      <c r="E358" s="7" t="s">
        <v>24</v>
      </c>
      <c r="F358" s="7" t="s">
        <v>31</v>
      </c>
      <c r="G358" s="7">
        <v>3</v>
      </c>
      <c r="H358" s="9">
        <v>5400</v>
      </c>
      <c r="I358" s="10">
        <v>0</v>
      </c>
      <c r="J358" s="7" t="s">
        <v>70</v>
      </c>
      <c r="K358" s="7" t="s">
        <v>71</v>
      </c>
      <c r="L358" s="7" t="s">
        <v>66</v>
      </c>
      <c r="M358" s="11">
        <f t="shared" si="30"/>
        <v>16200</v>
      </c>
      <c r="N358" t="str">
        <f t="shared" si="31"/>
        <v>Aug</v>
      </c>
      <c r="O358">
        <f t="shared" si="32"/>
        <v>3</v>
      </c>
      <c r="P358">
        <f>VLOOKUP(F358,Products!A:C,3,FALSE)</f>
        <v>3348</v>
      </c>
      <c r="Q358" s="12">
        <f t="shared" si="33"/>
        <v>6156</v>
      </c>
    </row>
    <row r="359" ht="15">
      <c r="A359" s="7" t="s">
        <v>451</v>
      </c>
      <c r="B359" s="8">
        <v>45877</v>
      </c>
      <c r="C359" s="7" t="s">
        <v>18</v>
      </c>
      <c r="D359" s="7" t="s">
        <v>63</v>
      </c>
      <c r="E359" s="7" t="s">
        <v>29</v>
      </c>
      <c r="F359" s="7" t="s">
        <v>21</v>
      </c>
      <c r="G359" s="7">
        <v>3</v>
      </c>
      <c r="H359" s="9">
        <v>3600</v>
      </c>
      <c r="I359" s="10">
        <v>5.0000000000000003e-002</v>
      </c>
      <c r="J359" s="7" t="s">
        <v>93</v>
      </c>
      <c r="K359" s="7" t="s">
        <v>71</v>
      </c>
      <c r="L359" s="7" t="s">
        <v>74</v>
      </c>
      <c r="M359" s="11">
        <f t="shared" si="30"/>
        <v>10260</v>
      </c>
      <c r="N359" t="str">
        <f t="shared" si="31"/>
        <v>Aug</v>
      </c>
      <c r="O359">
        <f t="shared" si="32"/>
        <v>3</v>
      </c>
      <c r="P359">
        <f>VLOOKUP(F359,Products!A:C,3,FALSE)</f>
        <v>2232</v>
      </c>
      <c r="Q359" s="12">
        <f t="shared" si="33"/>
        <v>3564</v>
      </c>
    </row>
    <row r="360" ht="15">
      <c r="A360" s="7" t="s">
        <v>452</v>
      </c>
      <c r="B360" s="8">
        <v>45880</v>
      </c>
      <c r="C360" s="7" t="s">
        <v>33</v>
      </c>
      <c r="D360" s="7" t="s">
        <v>102</v>
      </c>
      <c r="E360" s="7" t="s">
        <v>19</v>
      </c>
      <c r="F360" s="7" t="s">
        <v>106</v>
      </c>
      <c r="G360" s="7">
        <v>2</v>
      </c>
      <c r="H360" s="9">
        <v>180</v>
      </c>
      <c r="I360" s="10">
        <v>0.14999999999999999</v>
      </c>
      <c r="J360" s="7" t="s">
        <v>64</v>
      </c>
      <c r="K360" s="7" t="s">
        <v>65</v>
      </c>
      <c r="L360" s="7" t="s">
        <v>78</v>
      </c>
      <c r="M360" s="11">
        <f t="shared" si="30"/>
        <v>306</v>
      </c>
      <c r="N360" t="str">
        <f t="shared" si="31"/>
        <v>Aug</v>
      </c>
      <c r="O360">
        <f t="shared" si="32"/>
        <v>3</v>
      </c>
      <c r="P360">
        <f>VLOOKUP(F360,Products!A:C,3,FALSE)</f>
        <v>112</v>
      </c>
      <c r="Q360" s="12">
        <f t="shared" si="33"/>
        <v>82</v>
      </c>
    </row>
    <row r="361" ht="15">
      <c r="A361" s="7" t="s">
        <v>453</v>
      </c>
      <c r="B361" s="8">
        <v>45880</v>
      </c>
      <c r="C361" s="7" t="s">
        <v>33</v>
      </c>
      <c r="D361" s="7" t="s">
        <v>102</v>
      </c>
      <c r="E361" s="7" t="s">
        <v>34</v>
      </c>
      <c r="F361" s="7" t="s">
        <v>92</v>
      </c>
      <c r="G361" s="7">
        <v>28</v>
      </c>
      <c r="H361" s="9">
        <v>85</v>
      </c>
      <c r="I361" s="10">
        <v>0.14999999999999999</v>
      </c>
      <c r="J361" s="7" t="s">
        <v>89</v>
      </c>
      <c r="K361" s="7" t="s">
        <v>71</v>
      </c>
      <c r="L361" s="7" t="s">
        <v>90</v>
      </c>
      <c r="M361" s="11">
        <f t="shared" si="30"/>
        <v>2023</v>
      </c>
      <c r="N361" t="str">
        <f t="shared" si="31"/>
        <v>Aug</v>
      </c>
      <c r="O361">
        <f t="shared" si="32"/>
        <v>3</v>
      </c>
      <c r="P361">
        <f>VLOOKUP(F361,Products!A:C,3,FALSE)</f>
        <v>53</v>
      </c>
      <c r="Q361" s="12">
        <f t="shared" si="33"/>
        <v>539</v>
      </c>
    </row>
    <row r="362" ht="15">
      <c r="A362" s="7" t="s">
        <v>454</v>
      </c>
      <c r="B362" s="8">
        <v>45880</v>
      </c>
      <c r="C362" s="7" t="s">
        <v>40</v>
      </c>
      <c r="D362" s="7" t="s">
        <v>80</v>
      </c>
      <c r="E362" s="7" t="s">
        <v>34</v>
      </c>
      <c r="F362" s="7" t="s">
        <v>86</v>
      </c>
      <c r="G362" s="7">
        <v>8</v>
      </c>
      <c r="H362" s="9">
        <v>210</v>
      </c>
      <c r="I362" s="10">
        <v>0.10000000000000001</v>
      </c>
      <c r="J362" s="7" t="s">
        <v>103</v>
      </c>
      <c r="K362" s="7" t="s">
        <v>71</v>
      </c>
      <c r="L362" s="7" t="s">
        <v>78</v>
      </c>
      <c r="M362" s="11">
        <f t="shared" si="30"/>
        <v>1512</v>
      </c>
      <c r="N362" t="str">
        <f t="shared" si="31"/>
        <v>Aug</v>
      </c>
      <c r="O362">
        <f t="shared" si="32"/>
        <v>3</v>
      </c>
      <c r="P362">
        <f>VLOOKUP(F362,Products!A:C,3,FALSE)</f>
        <v>130</v>
      </c>
      <c r="Q362" s="12">
        <f t="shared" si="33"/>
        <v>472</v>
      </c>
    </row>
    <row r="363" ht="15">
      <c r="A363" s="7" t="s">
        <v>455</v>
      </c>
      <c r="B363" s="8">
        <v>45881</v>
      </c>
      <c r="C363" s="7" t="s">
        <v>36</v>
      </c>
      <c r="D363" s="7" t="s">
        <v>76</v>
      </c>
      <c r="E363" s="7" t="s">
        <v>24</v>
      </c>
      <c r="F363" s="7" t="s">
        <v>38</v>
      </c>
      <c r="G363" s="7">
        <v>4</v>
      </c>
      <c r="H363" s="9">
        <v>12500</v>
      </c>
      <c r="I363" s="10">
        <v>5.0000000000000003e-002</v>
      </c>
      <c r="J363" s="7" t="s">
        <v>103</v>
      </c>
      <c r="K363" s="7" t="s">
        <v>65</v>
      </c>
      <c r="L363" s="7" t="s">
        <v>90</v>
      </c>
      <c r="M363" s="11">
        <f t="shared" si="30"/>
        <v>47500</v>
      </c>
      <c r="N363" t="str">
        <f t="shared" si="31"/>
        <v>Aug</v>
      </c>
      <c r="O363">
        <f t="shared" si="32"/>
        <v>3</v>
      </c>
      <c r="P363">
        <f>VLOOKUP(F363,Products!A:C,3,FALSE)</f>
        <v>7750</v>
      </c>
      <c r="Q363" s="12">
        <f t="shared" si="33"/>
        <v>16500</v>
      </c>
    </row>
    <row r="364" ht="15">
      <c r="A364" s="7" t="s">
        <v>456</v>
      </c>
      <c r="B364" s="8">
        <v>45882</v>
      </c>
      <c r="C364" s="7" t="s">
        <v>40</v>
      </c>
      <c r="D364" s="7" t="s">
        <v>80</v>
      </c>
      <c r="E364" s="7" t="s">
        <v>19</v>
      </c>
      <c r="F364" s="7" t="s">
        <v>73</v>
      </c>
      <c r="G364" s="7">
        <v>1</v>
      </c>
      <c r="H364" s="9">
        <v>650</v>
      </c>
      <c r="I364" s="10">
        <v>0</v>
      </c>
      <c r="J364" s="7" t="s">
        <v>70</v>
      </c>
      <c r="K364" s="7" t="s">
        <v>71</v>
      </c>
      <c r="L364" s="7" t="s">
        <v>66</v>
      </c>
      <c r="M364" s="11">
        <f t="shared" si="30"/>
        <v>650</v>
      </c>
      <c r="N364" t="str">
        <f t="shared" si="31"/>
        <v>Aug</v>
      </c>
      <c r="O364">
        <f t="shared" si="32"/>
        <v>3</v>
      </c>
      <c r="P364">
        <f>VLOOKUP(F364,Products!A:C,3,FALSE)</f>
        <v>403</v>
      </c>
      <c r="Q364" s="12">
        <f t="shared" si="33"/>
        <v>247</v>
      </c>
    </row>
    <row r="365" ht="15">
      <c r="A365" s="7" t="s">
        <v>457</v>
      </c>
      <c r="B365" s="8">
        <v>45883</v>
      </c>
      <c r="C365" s="7" t="s">
        <v>36</v>
      </c>
      <c r="D365" s="7" t="s">
        <v>114</v>
      </c>
      <c r="E365" s="7" t="s">
        <v>34</v>
      </c>
      <c r="F365" s="7" t="s">
        <v>92</v>
      </c>
      <c r="G365" s="7">
        <v>31</v>
      </c>
      <c r="H365" s="9">
        <v>85</v>
      </c>
      <c r="I365" s="10">
        <v>0</v>
      </c>
      <c r="J365" s="7" t="s">
        <v>83</v>
      </c>
      <c r="K365" s="7" t="s">
        <v>71</v>
      </c>
      <c r="L365" s="7" t="s">
        <v>78</v>
      </c>
      <c r="M365" s="11">
        <f t="shared" si="30"/>
        <v>2635</v>
      </c>
      <c r="N365" t="str">
        <f t="shared" si="31"/>
        <v>Aug</v>
      </c>
      <c r="O365">
        <f t="shared" si="32"/>
        <v>3</v>
      </c>
      <c r="P365">
        <f>VLOOKUP(F365,Products!A:C,3,FALSE)</f>
        <v>53</v>
      </c>
      <c r="Q365" s="12">
        <f t="shared" si="33"/>
        <v>992</v>
      </c>
    </row>
    <row r="366" ht="15">
      <c r="A366" s="7" t="s">
        <v>458</v>
      </c>
      <c r="B366" s="8">
        <v>45883</v>
      </c>
      <c r="C366" s="7" t="s">
        <v>40</v>
      </c>
      <c r="D366" s="7" t="s">
        <v>98</v>
      </c>
      <c r="E366" s="7" t="s">
        <v>24</v>
      </c>
      <c r="F366" s="7" t="s">
        <v>26</v>
      </c>
      <c r="G366" s="7">
        <v>4</v>
      </c>
      <c r="H366" s="9">
        <v>3100</v>
      </c>
      <c r="I366" s="10">
        <v>0</v>
      </c>
      <c r="J366" s="7" t="s">
        <v>83</v>
      </c>
      <c r="K366" s="7" t="s">
        <v>65</v>
      </c>
      <c r="L366" s="7" t="s">
        <v>66</v>
      </c>
      <c r="M366" s="11">
        <f t="shared" si="30"/>
        <v>12400</v>
      </c>
      <c r="N366" t="str">
        <f t="shared" si="31"/>
        <v>Aug</v>
      </c>
      <c r="O366">
        <f t="shared" si="32"/>
        <v>3</v>
      </c>
      <c r="P366">
        <f>VLOOKUP(F366,Products!A:C,3,FALSE)</f>
        <v>1922</v>
      </c>
      <c r="Q366" s="12">
        <f t="shared" si="33"/>
        <v>4712</v>
      </c>
    </row>
    <row r="367" ht="15">
      <c r="A367" s="7" t="s">
        <v>459</v>
      </c>
      <c r="B367" s="8">
        <v>45884</v>
      </c>
      <c r="C367" s="7" t="s">
        <v>33</v>
      </c>
      <c r="D367" s="7" t="s">
        <v>102</v>
      </c>
      <c r="E367" s="7" t="s">
        <v>19</v>
      </c>
      <c r="F367" s="7" t="s">
        <v>77</v>
      </c>
      <c r="G367" s="7">
        <v>3</v>
      </c>
      <c r="H367" s="9">
        <v>520</v>
      </c>
      <c r="I367" s="10">
        <v>0.14999999999999999</v>
      </c>
      <c r="J367" s="7" t="s">
        <v>70</v>
      </c>
      <c r="K367" s="7" t="s">
        <v>65</v>
      </c>
      <c r="L367" s="7" t="s">
        <v>78</v>
      </c>
      <c r="M367" s="11">
        <f t="shared" si="30"/>
        <v>1326</v>
      </c>
      <c r="N367" t="str">
        <f t="shared" si="31"/>
        <v>Aug</v>
      </c>
      <c r="O367">
        <f t="shared" si="32"/>
        <v>3</v>
      </c>
      <c r="P367">
        <f>VLOOKUP(F367,Products!A:C,3,FALSE)</f>
        <v>322</v>
      </c>
      <c r="Q367" s="12">
        <f t="shared" si="33"/>
        <v>360</v>
      </c>
    </row>
    <row r="368" ht="15">
      <c r="A368" s="7" t="s">
        <v>460</v>
      </c>
      <c r="B368" s="8">
        <v>45884</v>
      </c>
      <c r="C368" s="7" t="s">
        <v>33</v>
      </c>
      <c r="D368" s="7" t="s">
        <v>102</v>
      </c>
      <c r="E368" s="7" t="s">
        <v>34</v>
      </c>
      <c r="F368" s="7" t="s">
        <v>69</v>
      </c>
      <c r="G368" s="7">
        <v>35</v>
      </c>
      <c r="H368" s="9">
        <v>120</v>
      </c>
      <c r="I368" s="10">
        <v>0</v>
      </c>
      <c r="J368" s="7" t="s">
        <v>64</v>
      </c>
      <c r="K368" s="7" t="s">
        <v>65</v>
      </c>
      <c r="L368" s="7" t="s">
        <v>78</v>
      </c>
      <c r="M368" s="11">
        <f t="shared" si="30"/>
        <v>4200</v>
      </c>
      <c r="N368" t="str">
        <f t="shared" si="31"/>
        <v>Aug</v>
      </c>
      <c r="O368">
        <f t="shared" si="32"/>
        <v>3</v>
      </c>
      <c r="P368">
        <f>VLOOKUP(F368,Products!A:C,3,FALSE)</f>
        <v>74</v>
      </c>
      <c r="Q368" s="12">
        <f t="shared" si="33"/>
        <v>1610</v>
      </c>
    </row>
    <row r="369" ht="15">
      <c r="A369" s="7" t="s">
        <v>461</v>
      </c>
      <c r="B369" s="8">
        <v>45884</v>
      </c>
      <c r="C369" s="7" t="s">
        <v>23</v>
      </c>
      <c r="D369" s="7" t="s">
        <v>105</v>
      </c>
      <c r="E369" s="7" t="s">
        <v>24</v>
      </c>
      <c r="F369" s="7" t="s">
        <v>35</v>
      </c>
      <c r="G369" s="7">
        <v>2</v>
      </c>
      <c r="H369" s="9">
        <v>8200</v>
      </c>
      <c r="I369" s="10">
        <v>0</v>
      </c>
      <c r="J369" s="7" t="s">
        <v>83</v>
      </c>
      <c r="K369" s="7" t="s">
        <v>65</v>
      </c>
      <c r="L369" s="7" t="s">
        <v>78</v>
      </c>
      <c r="M369" s="11">
        <f t="shared" si="30"/>
        <v>16400</v>
      </c>
      <c r="N369" t="str">
        <f t="shared" si="31"/>
        <v>Aug</v>
      </c>
      <c r="O369">
        <f t="shared" si="32"/>
        <v>3</v>
      </c>
      <c r="P369">
        <f>VLOOKUP(F369,Products!A:C,3,FALSE)</f>
        <v>5084</v>
      </c>
      <c r="Q369" s="12">
        <f t="shared" si="33"/>
        <v>6232</v>
      </c>
    </row>
    <row r="370" ht="15">
      <c r="A370" s="7" t="s">
        <v>462</v>
      </c>
      <c r="B370" s="8">
        <v>45884</v>
      </c>
      <c r="C370" s="7" t="s">
        <v>36</v>
      </c>
      <c r="D370" s="7" t="s">
        <v>76</v>
      </c>
      <c r="E370" s="7" t="s">
        <v>24</v>
      </c>
      <c r="F370" s="7" t="s">
        <v>26</v>
      </c>
      <c r="G370" s="7">
        <v>3</v>
      </c>
      <c r="H370" s="9">
        <v>3100</v>
      </c>
      <c r="I370" s="10">
        <v>0</v>
      </c>
      <c r="J370" s="7" t="s">
        <v>70</v>
      </c>
      <c r="K370" s="7" t="s">
        <v>65</v>
      </c>
      <c r="L370" s="7" t="s">
        <v>74</v>
      </c>
      <c r="M370" s="11">
        <f t="shared" si="30"/>
        <v>9300</v>
      </c>
      <c r="N370" t="str">
        <f t="shared" si="31"/>
        <v>Aug</v>
      </c>
      <c r="O370">
        <f t="shared" si="32"/>
        <v>3</v>
      </c>
      <c r="P370">
        <f>VLOOKUP(F370,Products!A:C,3,FALSE)</f>
        <v>1922</v>
      </c>
      <c r="Q370" s="12">
        <f t="shared" si="33"/>
        <v>3534</v>
      </c>
    </row>
    <row r="371" ht="15">
      <c r="A371" s="7" t="s">
        <v>463</v>
      </c>
      <c r="B371" s="8">
        <v>45884</v>
      </c>
      <c r="C371" s="7" t="s">
        <v>40</v>
      </c>
      <c r="D371" s="7" t="s">
        <v>85</v>
      </c>
      <c r="E371" s="7" t="s">
        <v>19</v>
      </c>
      <c r="F371" s="7" t="s">
        <v>77</v>
      </c>
      <c r="G371" s="7">
        <v>3</v>
      </c>
      <c r="H371" s="9">
        <v>520</v>
      </c>
      <c r="I371" s="10">
        <v>0.14999999999999999</v>
      </c>
      <c r="J371" s="7" t="s">
        <v>93</v>
      </c>
      <c r="K371" s="7" t="s">
        <v>65</v>
      </c>
      <c r="L371" s="7" t="s">
        <v>78</v>
      </c>
      <c r="M371" s="11">
        <f t="shared" si="30"/>
        <v>1326</v>
      </c>
      <c r="N371" t="str">
        <f t="shared" si="31"/>
        <v>Aug</v>
      </c>
      <c r="O371">
        <f t="shared" si="32"/>
        <v>3</v>
      </c>
      <c r="P371">
        <f>VLOOKUP(F371,Products!A:C,3,FALSE)</f>
        <v>322</v>
      </c>
      <c r="Q371" s="12">
        <f t="shared" si="33"/>
        <v>360</v>
      </c>
    </row>
    <row r="372" ht="15">
      <c r="A372" s="7" t="s">
        <v>464</v>
      </c>
      <c r="B372" s="8">
        <v>45884</v>
      </c>
      <c r="C372" s="7" t="s">
        <v>23</v>
      </c>
      <c r="D372" s="7" t="s">
        <v>95</v>
      </c>
      <c r="E372" s="7" t="s">
        <v>24</v>
      </c>
      <c r="F372" s="7" t="s">
        <v>35</v>
      </c>
      <c r="G372" s="7">
        <v>1</v>
      </c>
      <c r="H372" s="9">
        <v>8200</v>
      </c>
      <c r="I372" s="10">
        <v>0</v>
      </c>
      <c r="J372" s="7" t="s">
        <v>89</v>
      </c>
      <c r="K372" s="7" t="s">
        <v>65</v>
      </c>
      <c r="L372" s="7" t="s">
        <v>66</v>
      </c>
      <c r="M372" s="11">
        <f t="shared" si="30"/>
        <v>8200</v>
      </c>
      <c r="N372" t="str">
        <f t="shared" si="31"/>
        <v>Aug</v>
      </c>
      <c r="O372">
        <f t="shared" si="32"/>
        <v>3</v>
      </c>
      <c r="P372">
        <f>VLOOKUP(F372,Products!A:C,3,FALSE)</f>
        <v>5084</v>
      </c>
      <c r="Q372" s="12">
        <f t="shared" si="33"/>
        <v>3116</v>
      </c>
    </row>
    <row r="373" ht="15">
      <c r="A373" s="7" t="s">
        <v>465</v>
      </c>
      <c r="B373" s="8">
        <v>45886</v>
      </c>
      <c r="C373" s="7" t="s">
        <v>18</v>
      </c>
      <c r="D373" s="7" t="s">
        <v>63</v>
      </c>
      <c r="E373" s="7" t="s">
        <v>29</v>
      </c>
      <c r="F373" s="7" t="s">
        <v>120</v>
      </c>
      <c r="G373" s="7">
        <v>1</v>
      </c>
      <c r="H373" s="9">
        <v>2300</v>
      </c>
      <c r="I373" s="10">
        <v>0</v>
      </c>
      <c r="J373" s="7" t="s">
        <v>93</v>
      </c>
      <c r="K373" s="7" t="s">
        <v>65</v>
      </c>
      <c r="L373" s="7" t="s">
        <v>90</v>
      </c>
      <c r="M373" s="11">
        <f t="shared" si="30"/>
        <v>2300</v>
      </c>
      <c r="N373" t="str">
        <f t="shared" si="31"/>
        <v>Aug</v>
      </c>
      <c r="O373">
        <f t="shared" si="32"/>
        <v>3</v>
      </c>
      <c r="P373">
        <f>VLOOKUP(F373,Products!A:C,3,FALSE)</f>
        <v>1426</v>
      </c>
      <c r="Q373" s="12">
        <f t="shared" si="33"/>
        <v>874</v>
      </c>
    </row>
    <row r="374" ht="15">
      <c r="A374" s="7" t="s">
        <v>466</v>
      </c>
      <c r="B374" s="8">
        <v>45887</v>
      </c>
      <c r="C374" s="7" t="s">
        <v>28</v>
      </c>
      <c r="D374" s="7" t="s">
        <v>112</v>
      </c>
      <c r="E374" s="7" t="s">
        <v>29</v>
      </c>
      <c r="F374" s="7" t="s">
        <v>21</v>
      </c>
      <c r="G374" s="7">
        <v>4</v>
      </c>
      <c r="H374" s="9">
        <v>3600</v>
      </c>
      <c r="I374" s="10">
        <v>0.14999999999999999</v>
      </c>
      <c r="J374" s="7" t="s">
        <v>70</v>
      </c>
      <c r="K374" s="7" t="s">
        <v>71</v>
      </c>
      <c r="L374" s="7" t="s">
        <v>74</v>
      </c>
      <c r="M374" s="11">
        <f t="shared" si="30"/>
        <v>12240</v>
      </c>
      <c r="N374" t="str">
        <f t="shared" si="31"/>
        <v>Aug</v>
      </c>
      <c r="O374">
        <f t="shared" si="32"/>
        <v>3</v>
      </c>
      <c r="P374">
        <f>VLOOKUP(F374,Products!A:C,3,FALSE)</f>
        <v>2232</v>
      </c>
      <c r="Q374" s="12">
        <f t="shared" si="33"/>
        <v>3312</v>
      </c>
    </row>
    <row r="375" ht="15">
      <c r="A375" s="7" t="s">
        <v>467</v>
      </c>
      <c r="B375" s="8">
        <v>45888</v>
      </c>
      <c r="C375" s="7" t="s">
        <v>40</v>
      </c>
      <c r="D375" s="7" t="s">
        <v>80</v>
      </c>
      <c r="E375" s="7" t="s">
        <v>24</v>
      </c>
      <c r="F375" s="7" t="s">
        <v>35</v>
      </c>
      <c r="G375" s="7">
        <v>1</v>
      </c>
      <c r="H375" s="9">
        <v>8200</v>
      </c>
      <c r="I375" s="10">
        <v>0</v>
      </c>
      <c r="J375" s="7" t="s">
        <v>103</v>
      </c>
      <c r="K375" s="7" t="s">
        <v>65</v>
      </c>
      <c r="L375" s="7" t="s">
        <v>90</v>
      </c>
      <c r="M375" s="11">
        <f t="shared" si="30"/>
        <v>8200</v>
      </c>
      <c r="N375" t="str">
        <f t="shared" si="31"/>
        <v>Aug</v>
      </c>
      <c r="O375">
        <f t="shared" si="32"/>
        <v>3</v>
      </c>
      <c r="P375">
        <f>VLOOKUP(F375,Products!A:C,3,FALSE)</f>
        <v>5084</v>
      </c>
      <c r="Q375" s="12">
        <f t="shared" si="33"/>
        <v>3116</v>
      </c>
    </row>
    <row r="376" ht="15">
      <c r="A376" s="7" t="s">
        <v>468</v>
      </c>
      <c r="B376" s="8">
        <v>45890</v>
      </c>
      <c r="C376" s="7" t="s">
        <v>33</v>
      </c>
      <c r="D376" s="7" t="s">
        <v>68</v>
      </c>
      <c r="E376" s="7" t="s">
        <v>19</v>
      </c>
      <c r="F376" s="7" t="s">
        <v>106</v>
      </c>
      <c r="G376" s="7">
        <v>2</v>
      </c>
      <c r="H376" s="9">
        <v>180</v>
      </c>
      <c r="I376" s="10">
        <v>0.10000000000000001</v>
      </c>
      <c r="J376" s="7" t="s">
        <v>70</v>
      </c>
      <c r="K376" s="7" t="s">
        <v>71</v>
      </c>
      <c r="L376" s="7" t="s">
        <v>78</v>
      </c>
      <c r="M376" s="11">
        <f t="shared" si="30"/>
        <v>324</v>
      </c>
      <c r="N376" t="str">
        <f t="shared" si="31"/>
        <v>Aug</v>
      </c>
      <c r="O376">
        <f t="shared" si="32"/>
        <v>3</v>
      </c>
      <c r="P376">
        <f>VLOOKUP(F376,Products!A:C,3,FALSE)</f>
        <v>112</v>
      </c>
      <c r="Q376" s="12">
        <f t="shared" si="33"/>
        <v>100</v>
      </c>
    </row>
    <row r="377" ht="15">
      <c r="A377" s="7" t="s">
        <v>469</v>
      </c>
      <c r="B377" s="8">
        <v>45890</v>
      </c>
      <c r="C377" s="7" t="s">
        <v>36</v>
      </c>
      <c r="D377" s="7" t="s">
        <v>114</v>
      </c>
      <c r="E377" s="7" t="s">
        <v>19</v>
      </c>
      <c r="F377" s="7" t="s">
        <v>77</v>
      </c>
      <c r="G377" s="7">
        <v>4</v>
      </c>
      <c r="H377" s="9">
        <v>520</v>
      </c>
      <c r="I377" s="10">
        <v>5.0000000000000003e-002</v>
      </c>
      <c r="J377" s="7" t="s">
        <v>103</v>
      </c>
      <c r="K377" s="7" t="s">
        <v>71</v>
      </c>
      <c r="L377" s="7" t="s">
        <v>90</v>
      </c>
      <c r="M377" s="11">
        <f t="shared" si="30"/>
        <v>1976</v>
      </c>
      <c r="N377" t="str">
        <f t="shared" si="31"/>
        <v>Aug</v>
      </c>
      <c r="O377">
        <f t="shared" si="32"/>
        <v>3</v>
      </c>
      <c r="P377">
        <f>VLOOKUP(F377,Products!A:C,3,FALSE)</f>
        <v>322</v>
      </c>
      <c r="Q377" s="12">
        <f t="shared" si="33"/>
        <v>688</v>
      </c>
    </row>
    <row r="378" ht="15">
      <c r="A378" s="7" t="s">
        <v>470</v>
      </c>
      <c r="B378" s="8">
        <v>45890</v>
      </c>
      <c r="C378" s="7" t="s">
        <v>40</v>
      </c>
      <c r="D378" s="7" t="s">
        <v>80</v>
      </c>
      <c r="E378" s="7" t="s">
        <v>24</v>
      </c>
      <c r="F378" s="7" t="s">
        <v>38</v>
      </c>
      <c r="G378" s="7">
        <v>3</v>
      </c>
      <c r="H378" s="9">
        <v>12500</v>
      </c>
      <c r="I378" s="10">
        <v>0</v>
      </c>
      <c r="J378" s="7" t="s">
        <v>89</v>
      </c>
      <c r="K378" s="7" t="s">
        <v>71</v>
      </c>
      <c r="L378" s="7" t="s">
        <v>74</v>
      </c>
      <c r="M378" s="11">
        <f t="shared" si="30"/>
        <v>37500</v>
      </c>
      <c r="N378" t="str">
        <f t="shared" si="31"/>
        <v>Aug</v>
      </c>
      <c r="O378">
        <f t="shared" si="32"/>
        <v>3</v>
      </c>
      <c r="P378">
        <f>VLOOKUP(F378,Products!A:C,3,FALSE)</f>
        <v>7750</v>
      </c>
      <c r="Q378" s="12">
        <f t="shared" si="33"/>
        <v>14250</v>
      </c>
    </row>
    <row r="379" ht="15">
      <c r="A379" s="7" t="s">
        <v>471</v>
      </c>
      <c r="B379" s="8">
        <v>45890</v>
      </c>
      <c r="C379" s="7" t="s">
        <v>18</v>
      </c>
      <c r="D379" s="7" t="s">
        <v>63</v>
      </c>
      <c r="E379" s="7" t="s">
        <v>34</v>
      </c>
      <c r="F379" s="7" t="s">
        <v>86</v>
      </c>
      <c r="G379" s="7">
        <v>32</v>
      </c>
      <c r="H379" s="9">
        <v>210</v>
      </c>
      <c r="I379" s="10">
        <v>0.14999999999999999</v>
      </c>
      <c r="J379" s="7" t="s">
        <v>89</v>
      </c>
      <c r="K379" s="7" t="s">
        <v>65</v>
      </c>
      <c r="L379" s="7" t="s">
        <v>66</v>
      </c>
      <c r="M379" s="11">
        <f t="shared" si="30"/>
        <v>5712</v>
      </c>
      <c r="N379" t="str">
        <f t="shared" si="31"/>
        <v>Aug</v>
      </c>
      <c r="O379">
        <f t="shared" si="32"/>
        <v>3</v>
      </c>
      <c r="P379">
        <f>VLOOKUP(F379,Products!A:C,3,FALSE)</f>
        <v>130</v>
      </c>
      <c r="Q379" s="12">
        <f t="shared" si="33"/>
        <v>1552</v>
      </c>
    </row>
    <row r="380" ht="15">
      <c r="A380" s="7" t="s">
        <v>472</v>
      </c>
      <c r="B380" s="8">
        <v>45891</v>
      </c>
      <c r="C380" s="7" t="s">
        <v>36</v>
      </c>
      <c r="D380" s="7" t="s">
        <v>76</v>
      </c>
      <c r="E380" s="7" t="s">
        <v>34</v>
      </c>
      <c r="F380" s="7" t="s">
        <v>86</v>
      </c>
      <c r="G380" s="7">
        <v>14</v>
      </c>
      <c r="H380" s="9">
        <v>210</v>
      </c>
      <c r="I380" s="10">
        <v>0.10000000000000001</v>
      </c>
      <c r="J380" s="7" t="s">
        <v>83</v>
      </c>
      <c r="K380" s="7" t="s">
        <v>65</v>
      </c>
      <c r="L380" s="7" t="s">
        <v>74</v>
      </c>
      <c r="M380" s="11">
        <f t="shared" si="30"/>
        <v>2646</v>
      </c>
      <c r="N380" t="str">
        <f t="shared" si="31"/>
        <v>Aug</v>
      </c>
      <c r="O380">
        <f t="shared" si="32"/>
        <v>3</v>
      </c>
      <c r="P380">
        <f>VLOOKUP(F380,Products!A:C,3,FALSE)</f>
        <v>130</v>
      </c>
      <c r="Q380" s="12">
        <f t="shared" si="33"/>
        <v>826</v>
      </c>
    </row>
    <row r="381" ht="15">
      <c r="A381" s="7" t="s">
        <v>473</v>
      </c>
      <c r="B381" s="8">
        <v>45891</v>
      </c>
      <c r="C381" s="7" t="s">
        <v>23</v>
      </c>
      <c r="D381" s="7" t="s">
        <v>105</v>
      </c>
      <c r="E381" s="7" t="s">
        <v>34</v>
      </c>
      <c r="F381" s="7" t="s">
        <v>69</v>
      </c>
      <c r="G381" s="7">
        <v>15</v>
      </c>
      <c r="H381" s="9">
        <v>120</v>
      </c>
      <c r="I381" s="10">
        <v>0</v>
      </c>
      <c r="J381" s="7" t="s">
        <v>70</v>
      </c>
      <c r="K381" s="7" t="s">
        <v>65</v>
      </c>
      <c r="L381" s="7" t="s">
        <v>66</v>
      </c>
      <c r="M381" s="11">
        <f t="shared" si="30"/>
        <v>1800</v>
      </c>
      <c r="N381" t="str">
        <f t="shared" si="31"/>
        <v>Aug</v>
      </c>
      <c r="O381">
        <f t="shared" si="32"/>
        <v>3</v>
      </c>
      <c r="P381">
        <f>VLOOKUP(F381,Products!A:C,3,FALSE)</f>
        <v>74</v>
      </c>
      <c r="Q381" s="12">
        <f t="shared" si="33"/>
        <v>690</v>
      </c>
    </row>
    <row r="382" ht="15">
      <c r="A382" s="7" t="s">
        <v>474</v>
      </c>
      <c r="B382" s="8">
        <v>45892</v>
      </c>
      <c r="C382" s="7" t="s">
        <v>40</v>
      </c>
      <c r="D382" s="7" t="s">
        <v>98</v>
      </c>
      <c r="E382" s="7" t="s">
        <v>24</v>
      </c>
      <c r="F382" s="7" t="s">
        <v>26</v>
      </c>
      <c r="G382" s="7">
        <v>4</v>
      </c>
      <c r="H382" s="9">
        <v>3100</v>
      </c>
      <c r="I382" s="10">
        <v>5.0000000000000003e-002</v>
      </c>
      <c r="J382" s="7" t="s">
        <v>64</v>
      </c>
      <c r="K382" s="7" t="s">
        <v>65</v>
      </c>
      <c r="L382" s="7" t="s">
        <v>90</v>
      </c>
      <c r="M382" s="11">
        <f t="shared" si="30"/>
        <v>11780</v>
      </c>
      <c r="N382" t="str">
        <f t="shared" si="31"/>
        <v>Aug</v>
      </c>
      <c r="O382">
        <f t="shared" si="32"/>
        <v>3</v>
      </c>
      <c r="P382">
        <f>VLOOKUP(F382,Products!A:C,3,FALSE)</f>
        <v>1922</v>
      </c>
      <c r="Q382" s="12">
        <f t="shared" si="33"/>
        <v>4092</v>
      </c>
    </row>
    <row r="383" ht="15">
      <c r="A383" s="7" t="s">
        <v>475</v>
      </c>
      <c r="B383" s="8">
        <v>45893</v>
      </c>
      <c r="C383" s="7" t="s">
        <v>33</v>
      </c>
      <c r="D383" s="7" t="s">
        <v>102</v>
      </c>
      <c r="E383" s="7" t="s">
        <v>19</v>
      </c>
      <c r="F383" s="7" t="s">
        <v>106</v>
      </c>
      <c r="G383" s="7">
        <v>4</v>
      </c>
      <c r="H383" s="9">
        <v>180</v>
      </c>
      <c r="I383" s="10">
        <v>5.0000000000000003e-002</v>
      </c>
      <c r="J383" s="7" t="s">
        <v>93</v>
      </c>
      <c r="K383" s="7" t="s">
        <v>65</v>
      </c>
      <c r="L383" s="7" t="s">
        <v>90</v>
      </c>
      <c r="M383" s="11">
        <f t="shared" si="30"/>
        <v>684</v>
      </c>
      <c r="N383" t="str">
        <f t="shared" si="31"/>
        <v>Aug</v>
      </c>
      <c r="O383">
        <f t="shared" si="32"/>
        <v>3</v>
      </c>
      <c r="P383">
        <f>VLOOKUP(F383,Products!A:C,3,FALSE)</f>
        <v>112</v>
      </c>
      <c r="Q383" s="12">
        <f t="shared" si="33"/>
        <v>236</v>
      </c>
    </row>
    <row r="384" ht="15">
      <c r="A384" s="7" t="s">
        <v>476</v>
      </c>
      <c r="B384" s="8">
        <v>45893</v>
      </c>
      <c r="C384" s="7" t="s">
        <v>36</v>
      </c>
      <c r="D384" s="7" t="s">
        <v>114</v>
      </c>
      <c r="E384" s="7" t="s">
        <v>19</v>
      </c>
      <c r="F384" s="7" t="s">
        <v>73</v>
      </c>
      <c r="G384" s="7">
        <v>4</v>
      </c>
      <c r="H384" s="9">
        <v>650</v>
      </c>
      <c r="I384" s="10">
        <v>5.0000000000000003e-002</v>
      </c>
      <c r="J384" s="7" t="s">
        <v>103</v>
      </c>
      <c r="K384" s="7" t="s">
        <v>65</v>
      </c>
      <c r="L384" s="7" t="s">
        <v>78</v>
      </c>
      <c r="M384" s="11">
        <f t="shared" si="30"/>
        <v>2470</v>
      </c>
      <c r="N384" t="str">
        <f t="shared" si="31"/>
        <v>Aug</v>
      </c>
      <c r="O384">
        <f t="shared" si="32"/>
        <v>3</v>
      </c>
      <c r="P384">
        <f>VLOOKUP(F384,Products!A:C,3,FALSE)</f>
        <v>403</v>
      </c>
      <c r="Q384" s="12">
        <f t="shared" si="33"/>
        <v>858</v>
      </c>
    </row>
    <row r="385" ht="15">
      <c r="A385" s="7" t="s">
        <v>477</v>
      </c>
      <c r="B385" s="8">
        <v>45893</v>
      </c>
      <c r="C385" s="7" t="s">
        <v>40</v>
      </c>
      <c r="D385" s="7" t="s">
        <v>80</v>
      </c>
      <c r="E385" s="7" t="s">
        <v>19</v>
      </c>
      <c r="F385" s="7" t="s">
        <v>77</v>
      </c>
      <c r="G385" s="7">
        <v>3</v>
      </c>
      <c r="H385" s="9">
        <v>520</v>
      </c>
      <c r="I385" s="10">
        <v>0.10000000000000001</v>
      </c>
      <c r="J385" s="7" t="s">
        <v>83</v>
      </c>
      <c r="K385" s="7" t="s">
        <v>65</v>
      </c>
      <c r="L385" s="7" t="s">
        <v>90</v>
      </c>
      <c r="M385" s="11">
        <f t="shared" si="30"/>
        <v>1404</v>
      </c>
      <c r="N385" t="str">
        <f t="shared" si="31"/>
        <v>Aug</v>
      </c>
      <c r="O385">
        <f t="shared" si="32"/>
        <v>3</v>
      </c>
      <c r="P385">
        <f>VLOOKUP(F385,Products!A:C,3,FALSE)</f>
        <v>322</v>
      </c>
      <c r="Q385" s="12">
        <f t="shared" si="33"/>
        <v>438</v>
      </c>
    </row>
    <row r="386" ht="15">
      <c r="A386" s="7" t="s">
        <v>478</v>
      </c>
      <c r="B386" s="8">
        <v>45894</v>
      </c>
      <c r="C386" s="7" t="s">
        <v>40</v>
      </c>
      <c r="D386" s="7" t="s">
        <v>98</v>
      </c>
      <c r="E386" s="7" t="s">
        <v>29</v>
      </c>
      <c r="F386" s="7" t="s">
        <v>120</v>
      </c>
      <c r="G386" s="7">
        <v>2</v>
      </c>
      <c r="H386" s="9">
        <v>2300</v>
      </c>
      <c r="I386" s="10">
        <v>5.0000000000000003e-002</v>
      </c>
      <c r="J386" s="7" t="s">
        <v>93</v>
      </c>
      <c r="K386" s="7" t="s">
        <v>65</v>
      </c>
      <c r="L386" s="7" t="s">
        <v>90</v>
      </c>
      <c r="M386" s="11">
        <f t="shared" si="30"/>
        <v>4370</v>
      </c>
      <c r="N386" t="str">
        <f t="shared" si="31"/>
        <v>Aug</v>
      </c>
      <c r="O386">
        <f t="shared" si="32"/>
        <v>3</v>
      </c>
      <c r="P386">
        <f>VLOOKUP(F386,Products!A:C,3,FALSE)</f>
        <v>1426</v>
      </c>
      <c r="Q386" s="12">
        <f t="shared" si="33"/>
        <v>1518</v>
      </c>
    </row>
    <row r="387" ht="15">
      <c r="A387" s="7" t="s">
        <v>479</v>
      </c>
      <c r="B387" s="8">
        <v>45894</v>
      </c>
      <c r="C387" s="7" t="s">
        <v>36</v>
      </c>
      <c r="D387" s="7" t="s">
        <v>76</v>
      </c>
      <c r="E387" s="7" t="s">
        <v>19</v>
      </c>
      <c r="F387" s="7" t="s">
        <v>73</v>
      </c>
      <c r="G387" s="7">
        <v>1</v>
      </c>
      <c r="H387" s="9">
        <v>650</v>
      </c>
      <c r="I387" s="10">
        <v>0</v>
      </c>
      <c r="J387" s="7" t="s">
        <v>89</v>
      </c>
      <c r="K387" s="7" t="s">
        <v>65</v>
      </c>
      <c r="L387" s="7" t="s">
        <v>66</v>
      </c>
      <c r="M387" s="11">
        <f t="shared" si="30"/>
        <v>650</v>
      </c>
      <c r="N387" t="str">
        <f t="shared" si="31"/>
        <v>Aug</v>
      </c>
      <c r="O387">
        <f t="shared" si="32"/>
        <v>3</v>
      </c>
      <c r="P387">
        <f>VLOOKUP(F387,Products!A:C,3,FALSE)</f>
        <v>403</v>
      </c>
      <c r="Q387" s="12">
        <f t="shared" si="33"/>
        <v>247</v>
      </c>
    </row>
    <row r="388" ht="15">
      <c r="A388" s="7" t="s">
        <v>480</v>
      </c>
      <c r="B388" s="8">
        <v>45895</v>
      </c>
      <c r="C388" s="7" t="s">
        <v>23</v>
      </c>
      <c r="D388" s="7" t="s">
        <v>105</v>
      </c>
      <c r="E388" s="7" t="s">
        <v>29</v>
      </c>
      <c r="F388" s="7" t="s">
        <v>120</v>
      </c>
      <c r="G388" s="7">
        <v>3</v>
      </c>
      <c r="H388" s="9">
        <v>2300</v>
      </c>
      <c r="I388" s="10">
        <v>0.14999999999999999</v>
      </c>
      <c r="J388" s="7" t="s">
        <v>103</v>
      </c>
      <c r="K388" s="7" t="s">
        <v>65</v>
      </c>
      <c r="L388" s="7" t="s">
        <v>74</v>
      </c>
      <c r="M388" s="11">
        <f t="shared" si="30"/>
        <v>5865</v>
      </c>
      <c r="N388" t="str">
        <f t="shared" si="31"/>
        <v>Aug</v>
      </c>
      <c r="O388">
        <f t="shared" si="32"/>
        <v>3</v>
      </c>
      <c r="P388">
        <f>VLOOKUP(F388,Products!A:C,3,FALSE)</f>
        <v>1426</v>
      </c>
      <c r="Q388" s="12">
        <f t="shared" si="33"/>
        <v>1587</v>
      </c>
    </row>
    <row r="389" ht="15">
      <c r="A389" s="7" t="s">
        <v>481</v>
      </c>
      <c r="B389" s="8">
        <v>45895</v>
      </c>
      <c r="C389" s="7" t="s">
        <v>40</v>
      </c>
      <c r="D389" s="7" t="s">
        <v>80</v>
      </c>
      <c r="E389" s="7" t="s">
        <v>29</v>
      </c>
      <c r="F389" s="7" t="s">
        <v>81</v>
      </c>
      <c r="G389" s="7">
        <v>4</v>
      </c>
      <c r="H389" s="9">
        <v>1900</v>
      </c>
      <c r="I389" s="10">
        <v>0</v>
      </c>
      <c r="J389" s="7" t="s">
        <v>93</v>
      </c>
      <c r="K389" s="7" t="s">
        <v>65</v>
      </c>
      <c r="L389" s="7" t="s">
        <v>74</v>
      </c>
      <c r="M389" s="11">
        <f t="shared" si="30"/>
        <v>7600</v>
      </c>
      <c r="N389" t="str">
        <f t="shared" si="31"/>
        <v>Aug</v>
      </c>
      <c r="O389">
        <f t="shared" si="32"/>
        <v>3</v>
      </c>
      <c r="P389">
        <f>VLOOKUP(F389,Products!A:C,3,FALSE)</f>
        <v>1178</v>
      </c>
      <c r="Q389" s="12">
        <f t="shared" si="33"/>
        <v>2888</v>
      </c>
    </row>
    <row r="390" ht="15">
      <c r="A390" s="7" t="s">
        <v>482</v>
      </c>
      <c r="B390" s="8">
        <v>45896</v>
      </c>
      <c r="C390" s="7" t="s">
        <v>28</v>
      </c>
      <c r="D390" s="7" t="s">
        <v>112</v>
      </c>
      <c r="E390" s="7" t="s">
        <v>24</v>
      </c>
      <c r="F390" s="7" t="s">
        <v>35</v>
      </c>
      <c r="G390" s="7">
        <v>2</v>
      </c>
      <c r="H390" s="9">
        <v>8200</v>
      </c>
      <c r="I390" s="10">
        <v>5.0000000000000003e-002</v>
      </c>
      <c r="J390" s="7" t="s">
        <v>64</v>
      </c>
      <c r="K390" s="7" t="s">
        <v>71</v>
      </c>
      <c r="L390" s="7" t="s">
        <v>78</v>
      </c>
      <c r="M390" s="11">
        <f t="shared" si="30"/>
        <v>15580</v>
      </c>
      <c r="N390" t="str">
        <f t="shared" si="31"/>
        <v>Aug</v>
      </c>
      <c r="O390">
        <f t="shared" si="32"/>
        <v>3</v>
      </c>
      <c r="P390">
        <f>VLOOKUP(F390,Products!A:C,3,FALSE)</f>
        <v>5084</v>
      </c>
      <c r="Q390" s="12">
        <f t="shared" si="33"/>
        <v>5412</v>
      </c>
    </row>
    <row r="391" ht="15">
      <c r="A391" s="7" t="s">
        <v>483</v>
      </c>
      <c r="B391" s="8">
        <v>45896</v>
      </c>
      <c r="C391" s="7" t="s">
        <v>33</v>
      </c>
      <c r="D391" s="7" t="s">
        <v>102</v>
      </c>
      <c r="E391" s="7" t="s">
        <v>19</v>
      </c>
      <c r="F391" s="7" t="s">
        <v>106</v>
      </c>
      <c r="G391" s="7">
        <v>4</v>
      </c>
      <c r="H391" s="9">
        <v>180</v>
      </c>
      <c r="I391" s="10">
        <v>5.0000000000000003e-002</v>
      </c>
      <c r="J391" s="7" t="s">
        <v>89</v>
      </c>
      <c r="K391" s="7" t="s">
        <v>65</v>
      </c>
      <c r="L391" s="7" t="s">
        <v>74</v>
      </c>
      <c r="M391" s="11">
        <f t="shared" si="30"/>
        <v>684</v>
      </c>
      <c r="N391" t="str">
        <f t="shared" si="31"/>
        <v>Aug</v>
      </c>
      <c r="O391">
        <f t="shared" si="32"/>
        <v>3</v>
      </c>
      <c r="P391">
        <f>VLOOKUP(F391,Products!A:C,3,FALSE)</f>
        <v>112</v>
      </c>
      <c r="Q391" s="12">
        <f t="shared" si="33"/>
        <v>236</v>
      </c>
    </row>
    <row r="392" ht="15">
      <c r="A392" s="7" t="s">
        <v>484</v>
      </c>
      <c r="B392" s="8">
        <v>45897</v>
      </c>
      <c r="C392" s="7" t="s">
        <v>40</v>
      </c>
      <c r="D392" s="7" t="s">
        <v>80</v>
      </c>
      <c r="E392" s="7" t="s">
        <v>29</v>
      </c>
      <c r="F392" s="7" t="s">
        <v>81</v>
      </c>
      <c r="G392" s="7">
        <v>1</v>
      </c>
      <c r="H392" s="9">
        <v>1900</v>
      </c>
      <c r="I392" s="10">
        <v>0.10000000000000001</v>
      </c>
      <c r="J392" s="7" t="s">
        <v>70</v>
      </c>
      <c r="K392" s="7" t="s">
        <v>71</v>
      </c>
      <c r="L392" s="7" t="s">
        <v>90</v>
      </c>
      <c r="M392" s="11">
        <f t="shared" si="30"/>
        <v>1710</v>
      </c>
      <c r="N392" t="str">
        <f t="shared" si="31"/>
        <v>Aug</v>
      </c>
      <c r="O392">
        <f t="shared" si="32"/>
        <v>3</v>
      </c>
      <c r="P392">
        <f>VLOOKUP(F392,Products!A:C,3,FALSE)</f>
        <v>1178</v>
      </c>
      <c r="Q392" s="12">
        <f t="shared" si="33"/>
        <v>532</v>
      </c>
    </row>
    <row r="393" ht="15">
      <c r="A393" s="7" t="s">
        <v>485</v>
      </c>
      <c r="B393" s="8">
        <v>45897</v>
      </c>
      <c r="C393" s="7" t="s">
        <v>23</v>
      </c>
      <c r="D393" s="7" t="s">
        <v>95</v>
      </c>
      <c r="E393" s="7" t="s">
        <v>34</v>
      </c>
      <c r="F393" s="7" t="s">
        <v>69</v>
      </c>
      <c r="G393" s="7">
        <v>16</v>
      </c>
      <c r="H393" s="9">
        <v>120</v>
      </c>
      <c r="I393" s="10">
        <v>0.14999999999999999</v>
      </c>
      <c r="J393" s="7" t="s">
        <v>64</v>
      </c>
      <c r="K393" s="7" t="s">
        <v>65</v>
      </c>
      <c r="L393" s="7" t="s">
        <v>66</v>
      </c>
      <c r="M393" s="11">
        <f t="shared" si="30"/>
        <v>1632</v>
      </c>
      <c r="N393" t="str">
        <f t="shared" si="31"/>
        <v>Aug</v>
      </c>
      <c r="O393">
        <f t="shared" si="32"/>
        <v>3</v>
      </c>
      <c r="P393">
        <f>VLOOKUP(F393,Products!A:C,3,FALSE)</f>
        <v>74</v>
      </c>
      <c r="Q393" s="12">
        <f t="shared" si="33"/>
        <v>448</v>
      </c>
    </row>
    <row r="394" ht="15">
      <c r="A394" s="7" t="s">
        <v>486</v>
      </c>
      <c r="B394" s="8">
        <v>45897</v>
      </c>
      <c r="C394" s="7" t="s">
        <v>18</v>
      </c>
      <c r="D394" s="7" t="s">
        <v>63</v>
      </c>
      <c r="E394" s="7" t="s">
        <v>34</v>
      </c>
      <c r="F394" s="7" t="s">
        <v>69</v>
      </c>
      <c r="G394" s="7">
        <v>20</v>
      </c>
      <c r="H394" s="9">
        <v>120</v>
      </c>
      <c r="I394" s="10">
        <v>0</v>
      </c>
      <c r="J394" s="7" t="s">
        <v>70</v>
      </c>
      <c r="K394" s="7" t="s">
        <v>71</v>
      </c>
      <c r="L394" s="7" t="s">
        <v>66</v>
      </c>
      <c r="M394" s="11">
        <f t="shared" si="30"/>
        <v>2400</v>
      </c>
      <c r="N394" t="str">
        <f t="shared" si="31"/>
        <v>Aug</v>
      </c>
      <c r="O394">
        <f t="shared" si="32"/>
        <v>3</v>
      </c>
      <c r="P394">
        <f>VLOOKUP(F394,Products!A:C,3,FALSE)</f>
        <v>74</v>
      </c>
      <c r="Q394" s="12">
        <f t="shared" si="33"/>
        <v>920</v>
      </c>
    </row>
    <row r="395" ht="15">
      <c r="A395" s="7" t="s">
        <v>487</v>
      </c>
      <c r="B395" s="8">
        <v>45898</v>
      </c>
      <c r="C395" s="7" t="s">
        <v>23</v>
      </c>
      <c r="D395" s="7" t="s">
        <v>95</v>
      </c>
      <c r="E395" s="7" t="s">
        <v>29</v>
      </c>
      <c r="F395" s="7" t="s">
        <v>81</v>
      </c>
      <c r="G395" s="7">
        <v>4</v>
      </c>
      <c r="H395" s="9">
        <v>1900</v>
      </c>
      <c r="I395" s="10">
        <v>0.10000000000000001</v>
      </c>
      <c r="J395" s="7" t="s">
        <v>89</v>
      </c>
      <c r="K395" s="7" t="s">
        <v>71</v>
      </c>
      <c r="L395" s="7" t="s">
        <v>66</v>
      </c>
      <c r="M395" s="11">
        <f t="shared" si="30"/>
        <v>6840</v>
      </c>
      <c r="N395" t="str">
        <f t="shared" si="31"/>
        <v>Aug</v>
      </c>
      <c r="O395">
        <f t="shared" si="32"/>
        <v>3</v>
      </c>
      <c r="P395">
        <f>VLOOKUP(F395,Products!A:C,3,FALSE)</f>
        <v>1178</v>
      </c>
      <c r="Q395" s="12">
        <f t="shared" si="33"/>
        <v>2128</v>
      </c>
    </row>
    <row r="396" ht="15">
      <c r="A396" s="7" t="s">
        <v>488</v>
      </c>
      <c r="B396" s="8">
        <v>45898</v>
      </c>
      <c r="C396" s="7" t="s">
        <v>36</v>
      </c>
      <c r="D396" s="7" t="s">
        <v>76</v>
      </c>
      <c r="E396" s="7" t="s">
        <v>19</v>
      </c>
      <c r="F396" s="7" t="s">
        <v>77</v>
      </c>
      <c r="G396" s="7">
        <v>2</v>
      </c>
      <c r="H396" s="9">
        <v>520</v>
      </c>
      <c r="I396" s="10">
        <v>0</v>
      </c>
      <c r="J396" s="7" t="s">
        <v>64</v>
      </c>
      <c r="K396" s="7" t="s">
        <v>65</v>
      </c>
      <c r="L396" s="7" t="s">
        <v>66</v>
      </c>
      <c r="M396" s="11">
        <f t="shared" si="30"/>
        <v>1040</v>
      </c>
      <c r="N396" t="str">
        <f t="shared" si="31"/>
        <v>Aug</v>
      </c>
      <c r="O396">
        <f t="shared" si="32"/>
        <v>3</v>
      </c>
      <c r="P396">
        <f>VLOOKUP(F396,Products!A:C,3,FALSE)</f>
        <v>322</v>
      </c>
      <c r="Q396" s="12">
        <f t="shared" si="33"/>
        <v>396</v>
      </c>
    </row>
    <row r="397" ht="15">
      <c r="A397" s="7" t="s">
        <v>489</v>
      </c>
      <c r="B397" s="8">
        <v>45898</v>
      </c>
      <c r="C397" s="7" t="s">
        <v>40</v>
      </c>
      <c r="D397" s="7" t="s">
        <v>80</v>
      </c>
      <c r="E397" s="7" t="s">
        <v>34</v>
      </c>
      <c r="F397" s="7" t="s">
        <v>86</v>
      </c>
      <c r="G397" s="7">
        <v>13</v>
      </c>
      <c r="H397" s="9">
        <v>210</v>
      </c>
      <c r="I397" s="10">
        <v>0.14999999999999999</v>
      </c>
      <c r="J397" s="7" t="s">
        <v>89</v>
      </c>
      <c r="K397" s="7" t="s">
        <v>71</v>
      </c>
      <c r="L397" s="7" t="s">
        <v>74</v>
      </c>
      <c r="M397" s="11">
        <f t="shared" si="30"/>
        <v>2320.5</v>
      </c>
      <c r="N397" t="str">
        <f t="shared" si="31"/>
        <v>Aug</v>
      </c>
      <c r="O397">
        <f t="shared" si="32"/>
        <v>3</v>
      </c>
      <c r="P397">
        <f>VLOOKUP(F397,Products!A:C,3,FALSE)</f>
        <v>130</v>
      </c>
      <c r="Q397" s="12">
        <f t="shared" si="33"/>
        <v>630.5</v>
      </c>
    </row>
    <row r="398" ht="15">
      <c r="A398" s="7" t="s">
        <v>490</v>
      </c>
      <c r="B398" s="8">
        <v>45900</v>
      </c>
      <c r="C398" s="7" t="s">
        <v>33</v>
      </c>
      <c r="D398" s="7" t="s">
        <v>68</v>
      </c>
      <c r="E398" s="7" t="s">
        <v>34</v>
      </c>
      <c r="F398" s="7" t="s">
        <v>69</v>
      </c>
      <c r="G398" s="7">
        <v>12</v>
      </c>
      <c r="H398" s="9">
        <v>120</v>
      </c>
      <c r="I398" s="10">
        <v>0</v>
      </c>
      <c r="J398" s="7" t="s">
        <v>83</v>
      </c>
      <c r="K398" s="7" t="s">
        <v>65</v>
      </c>
      <c r="L398" s="7" t="s">
        <v>90</v>
      </c>
      <c r="M398" s="11">
        <f t="shared" si="30"/>
        <v>1440</v>
      </c>
      <c r="N398" t="str">
        <f t="shared" si="31"/>
        <v>Aug</v>
      </c>
      <c r="O398">
        <f t="shared" si="32"/>
        <v>3</v>
      </c>
      <c r="P398">
        <f>VLOOKUP(F398,Products!A:C,3,FALSE)</f>
        <v>74</v>
      </c>
      <c r="Q398" s="12">
        <f t="shared" si="33"/>
        <v>552</v>
      </c>
    </row>
    <row r="399" ht="15">
      <c r="A399" s="7" t="s">
        <v>491</v>
      </c>
      <c r="B399" s="8">
        <v>45901</v>
      </c>
      <c r="C399" s="7" t="s">
        <v>36</v>
      </c>
      <c r="D399" s="7" t="s">
        <v>76</v>
      </c>
      <c r="E399" s="7" t="s">
        <v>34</v>
      </c>
      <c r="F399" s="7" t="s">
        <v>86</v>
      </c>
      <c r="G399" s="7">
        <v>32</v>
      </c>
      <c r="H399" s="9">
        <v>210</v>
      </c>
      <c r="I399" s="10">
        <v>0</v>
      </c>
      <c r="J399" s="7" t="s">
        <v>83</v>
      </c>
      <c r="K399" s="7" t="s">
        <v>65</v>
      </c>
      <c r="L399" s="7" t="s">
        <v>90</v>
      </c>
      <c r="M399" s="11">
        <f t="shared" si="30"/>
        <v>6720</v>
      </c>
      <c r="N399" t="str">
        <f t="shared" si="31"/>
        <v>Sep</v>
      </c>
      <c r="O399">
        <f t="shared" si="32"/>
        <v>3</v>
      </c>
      <c r="P399">
        <f>VLOOKUP(F399,Products!A:C,3,FALSE)</f>
        <v>130</v>
      </c>
      <c r="Q399" s="12">
        <f t="shared" si="33"/>
        <v>2560</v>
      </c>
    </row>
    <row r="400" ht="15">
      <c r="A400" s="7" t="s">
        <v>492</v>
      </c>
      <c r="B400" s="8">
        <v>45902</v>
      </c>
      <c r="C400" s="7" t="s">
        <v>40</v>
      </c>
      <c r="D400" s="7" t="s">
        <v>98</v>
      </c>
      <c r="E400" s="7" t="s">
        <v>24</v>
      </c>
      <c r="F400" s="7" t="s">
        <v>31</v>
      </c>
      <c r="G400" s="7">
        <v>2</v>
      </c>
      <c r="H400" s="9">
        <v>5400</v>
      </c>
      <c r="I400" s="10">
        <v>0</v>
      </c>
      <c r="J400" s="7" t="s">
        <v>64</v>
      </c>
      <c r="K400" s="7" t="s">
        <v>71</v>
      </c>
      <c r="L400" s="7" t="s">
        <v>66</v>
      </c>
      <c r="M400" s="11">
        <f t="shared" si="30"/>
        <v>10800</v>
      </c>
      <c r="N400" t="str">
        <f t="shared" si="31"/>
        <v>Sep</v>
      </c>
      <c r="O400">
        <f t="shared" si="32"/>
        <v>3</v>
      </c>
      <c r="P400">
        <f>VLOOKUP(F400,Products!A:C,3,FALSE)</f>
        <v>3348</v>
      </c>
      <c r="Q400" s="12">
        <f t="shared" si="33"/>
        <v>4104</v>
      </c>
    </row>
    <row r="401" ht="15">
      <c r="A401" s="7" t="s">
        <v>493</v>
      </c>
      <c r="B401" s="8">
        <v>45905</v>
      </c>
      <c r="C401" s="7" t="s">
        <v>23</v>
      </c>
      <c r="D401" s="7" t="s">
        <v>105</v>
      </c>
      <c r="E401" s="7" t="s">
        <v>24</v>
      </c>
      <c r="F401" s="7" t="s">
        <v>31</v>
      </c>
      <c r="G401" s="7">
        <v>2</v>
      </c>
      <c r="H401" s="9">
        <v>5400</v>
      </c>
      <c r="I401" s="10">
        <v>0.10000000000000001</v>
      </c>
      <c r="J401" s="7" t="s">
        <v>103</v>
      </c>
      <c r="K401" s="7" t="s">
        <v>65</v>
      </c>
      <c r="L401" s="7" t="s">
        <v>90</v>
      </c>
      <c r="M401" s="11">
        <f t="shared" si="30"/>
        <v>9720</v>
      </c>
      <c r="N401" t="str">
        <f t="shared" si="31"/>
        <v>Sep</v>
      </c>
      <c r="O401">
        <f t="shared" si="32"/>
        <v>3</v>
      </c>
      <c r="P401">
        <f>VLOOKUP(F401,Products!A:C,3,FALSE)</f>
        <v>3348</v>
      </c>
      <c r="Q401" s="12">
        <f t="shared" si="33"/>
        <v>3024</v>
      </c>
    </row>
    <row r="402" ht="15">
      <c r="A402" s="7" t="s">
        <v>494</v>
      </c>
      <c r="B402" s="8">
        <v>45905</v>
      </c>
      <c r="C402" s="7" t="s">
        <v>36</v>
      </c>
      <c r="D402" s="7" t="s">
        <v>114</v>
      </c>
      <c r="E402" s="7" t="s">
        <v>24</v>
      </c>
      <c r="F402" s="7" t="s">
        <v>35</v>
      </c>
      <c r="G402" s="7">
        <v>4</v>
      </c>
      <c r="H402" s="9">
        <v>8200</v>
      </c>
      <c r="I402" s="10">
        <v>0</v>
      </c>
      <c r="J402" s="7" t="s">
        <v>83</v>
      </c>
      <c r="K402" s="7" t="s">
        <v>71</v>
      </c>
      <c r="L402" s="7" t="s">
        <v>66</v>
      </c>
      <c r="M402" s="11">
        <f t="shared" si="30"/>
        <v>32800</v>
      </c>
      <c r="N402" t="str">
        <f t="shared" si="31"/>
        <v>Sep</v>
      </c>
      <c r="O402">
        <f t="shared" si="32"/>
        <v>3</v>
      </c>
      <c r="P402">
        <f>VLOOKUP(F402,Products!A:C,3,FALSE)</f>
        <v>5084</v>
      </c>
      <c r="Q402" s="12">
        <f t="shared" si="33"/>
        <v>12464</v>
      </c>
    </row>
    <row r="403" ht="15">
      <c r="A403" s="7" t="s">
        <v>495</v>
      </c>
      <c r="B403" s="8">
        <v>45905</v>
      </c>
      <c r="C403" s="7" t="s">
        <v>36</v>
      </c>
      <c r="D403" s="7" t="s">
        <v>76</v>
      </c>
      <c r="E403" s="7" t="s">
        <v>19</v>
      </c>
      <c r="F403" s="7" t="s">
        <v>73</v>
      </c>
      <c r="G403" s="7">
        <v>4</v>
      </c>
      <c r="H403" s="9">
        <v>650</v>
      </c>
      <c r="I403" s="10">
        <v>5.0000000000000003e-002</v>
      </c>
      <c r="J403" s="7" t="s">
        <v>89</v>
      </c>
      <c r="K403" s="7" t="s">
        <v>65</v>
      </c>
      <c r="L403" s="7" t="s">
        <v>78</v>
      </c>
      <c r="M403" s="11">
        <f t="shared" si="30"/>
        <v>2470</v>
      </c>
      <c r="N403" t="str">
        <f t="shared" si="31"/>
        <v>Sep</v>
      </c>
      <c r="O403">
        <f t="shared" si="32"/>
        <v>3</v>
      </c>
      <c r="P403">
        <f>VLOOKUP(F403,Products!A:C,3,FALSE)</f>
        <v>403</v>
      </c>
      <c r="Q403" s="12">
        <f t="shared" si="33"/>
        <v>858</v>
      </c>
    </row>
    <row r="404" ht="15">
      <c r="A404" s="7" t="s">
        <v>496</v>
      </c>
      <c r="B404" s="8">
        <v>45906</v>
      </c>
      <c r="C404" s="7" t="s">
        <v>36</v>
      </c>
      <c r="D404" s="7" t="s">
        <v>114</v>
      </c>
      <c r="E404" s="7" t="s">
        <v>24</v>
      </c>
      <c r="F404" s="7" t="s">
        <v>38</v>
      </c>
      <c r="G404" s="7">
        <v>4</v>
      </c>
      <c r="H404" s="9">
        <v>12500</v>
      </c>
      <c r="I404" s="10">
        <v>0</v>
      </c>
      <c r="J404" s="7" t="s">
        <v>89</v>
      </c>
      <c r="K404" s="7" t="s">
        <v>71</v>
      </c>
      <c r="L404" s="7" t="s">
        <v>66</v>
      </c>
      <c r="M404" s="11">
        <f t="shared" si="30"/>
        <v>50000</v>
      </c>
      <c r="N404" t="str">
        <f t="shared" si="31"/>
        <v>Sep</v>
      </c>
      <c r="O404">
        <f t="shared" si="32"/>
        <v>3</v>
      </c>
      <c r="P404">
        <f>VLOOKUP(F404,Products!A:C,3,FALSE)</f>
        <v>7750</v>
      </c>
      <c r="Q404" s="12">
        <f t="shared" si="33"/>
        <v>19000</v>
      </c>
    </row>
    <row r="405" ht="15">
      <c r="A405" s="7" t="s">
        <v>497</v>
      </c>
      <c r="B405" s="8">
        <v>45906</v>
      </c>
      <c r="C405" s="7" t="s">
        <v>33</v>
      </c>
      <c r="D405" s="7" t="s">
        <v>102</v>
      </c>
      <c r="E405" s="7" t="s">
        <v>19</v>
      </c>
      <c r="F405" s="7" t="s">
        <v>106</v>
      </c>
      <c r="G405" s="7">
        <v>2</v>
      </c>
      <c r="H405" s="9">
        <v>180</v>
      </c>
      <c r="I405" s="10">
        <v>0</v>
      </c>
      <c r="J405" s="7" t="s">
        <v>70</v>
      </c>
      <c r="K405" s="7" t="s">
        <v>65</v>
      </c>
      <c r="L405" s="7" t="s">
        <v>78</v>
      </c>
      <c r="M405" s="11">
        <f t="shared" si="30"/>
        <v>360</v>
      </c>
      <c r="N405" t="str">
        <f t="shared" si="31"/>
        <v>Sep</v>
      </c>
      <c r="O405">
        <f t="shared" si="32"/>
        <v>3</v>
      </c>
      <c r="P405">
        <f>VLOOKUP(F405,Products!A:C,3,FALSE)</f>
        <v>112</v>
      </c>
      <c r="Q405" s="12">
        <f t="shared" si="33"/>
        <v>136</v>
      </c>
    </row>
    <row r="406" ht="15">
      <c r="A406" s="7" t="s">
        <v>498</v>
      </c>
      <c r="B406" s="8">
        <v>45906</v>
      </c>
      <c r="C406" s="7" t="s">
        <v>28</v>
      </c>
      <c r="D406" s="7" t="s">
        <v>112</v>
      </c>
      <c r="E406" s="7" t="s">
        <v>24</v>
      </c>
      <c r="F406" s="7" t="s">
        <v>31</v>
      </c>
      <c r="G406" s="7">
        <v>4</v>
      </c>
      <c r="H406" s="9">
        <v>5400</v>
      </c>
      <c r="I406" s="10">
        <v>0</v>
      </c>
      <c r="J406" s="7" t="s">
        <v>70</v>
      </c>
      <c r="K406" s="7" t="s">
        <v>65</v>
      </c>
      <c r="L406" s="7" t="s">
        <v>66</v>
      </c>
      <c r="M406" s="11">
        <f t="shared" si="30"/>
        <v>21600</v>
      </c>
      <c r="N406" t="str">
        <f t="shared" si="31"/>
        <v>Sep</v>
      </c>
      <c r="O406">
        <f t="shared" si="32"/>
        <v>3</v>
      </c>
      <c r="P406">
        <f>VLOOKUP(F406,Products!A:C,3,FALSE)</f>
        <v>3348</v>
      </c>
      <c r="Q406" s="12">
        <f t="shared" si="33"/>
        <v>8208</v>
      </c>
    </row>
    <row r="407" ht="15">
      <c r="A407" s="7" t="s">
        <v>499</v>
      </c>
      <c r="B407" s="8">
        <v>45907</v>
      </c>
      <c r="C407" s="7" t="s">
        <v>40</v>
      </c>
      <c r="D407" s="7" t="s">
        <v>85</v>
      </c>
      <c r="E407" s="7" t="s">
        <v>24</v>
      </c>
      <c r="F407" s="7" t="s">
        <v>31</v>
      </c>
      <c r="G407" s="7">
        <v>1</v>
      </c>
      <c r="H407" s="9">
        <v>5400</v>
      </c>
      <c r="I407" s="10">
        <v>0</v>
      </c>
      <c r="J407" s="7" t="s">
        <v>70</v>
      </c>
      <c r="K407" s="7" t="s">
        <v>71</v>
      </c>
      <c r="L407" s="7" t="s">
        <v>74</v>
      </c>
      <c r="M407" s="11">
        <f t="shared" si="30"/>
        <v>5400</v>
      </c>
      <c r="N407" t="str">
        <f t="shared" si="31"/>
        <v>Sep</v>
      </c>
      <c r="O407">
        <f t="shared" si="32"/>
        <v>3</v>
      </c>
      <c r="P407">
        <f>VLOOKUP(F407,Products!A:C,3,FALSE)</f>
        <v>3348</v>
      </c>
      <c r="Q407" s="12">
        <f t="shared" si="33"/>
        <v>2052</v>
      </c>
    </row>
    <row r="408" ht="15">
      <c r="A408" s="7" t="s">
        <v>500</v>
      </c>
      <c r="B408" s="8">
        <v>45907</v>
      </c>
      <c r="C408" s="7" t="s">
        <v>40</v>
      </c>
      <c r="D408" s="7" t="s">
        <v>85</v>
      </c>
      <c r="E408" s="7" t="s">
        <v>24</v>
      </c>
      <c r="F408" s="7" t="s">
        <v>38</v>
      </c>
      <c r="G408" s="7">
        <v>1</v>
      </c>
      <c r="H408" s="9">
        <v>12500</v>
      </c>
      <c r="I408" s="10">
        <v>0.14999999999999999</v>
      </c>
      <c r="J408" s="7" t="s">
        <v>83</v>
      </c>
      <c r="K408" s="7" t="s">
        <v>71</v>
      </c>
      <c r="L408" s="7" t="s">
        <v>66</v>
      </c>
      <c r="M408" s="11">
        <f t="shared" si="30"/>
        <v>10625</v>
      </c>
      <c r="N408" t="str">
        <f t="shared" si="31"/>
        <v>Sep</v>
      </c>
      <c r="O408">
        <f t="shared" si="32"/>
        <v>3</v>
      </c>
      <c r="P408">
        <f>VLOOKUP(F408,Products!A:C,3,FALSE)</f>
        <v>7750</v>
      </c>
      <c r="Q408" s="12">
        <f t="shared" si="33"/>
        <v>2875</v>
      </c>
    </row>
    <row r="409" ht="15">
      <c r="A409" s="7" t="s">
        <v>501</v>
      </c>
      <c r="B409" s="8">
        <v>45908</v>
      </c>
      <c r="C409" s="7" t="s">
        <v>23</v>
      </c>
      <c r="D409" s="7" t="s">
        <v>105</v>
      </c>
      <c r="E409" s="7" t="s">
        <v>29</v>
      </c>
      <c r="F409" s="7" t="s">
        <v>81</v>
      </c>
      <c r="G409" s="7">
        <v>1</v>
      </c>
      <c r="H409" s="9">
        <v>1900</v>
      </c>
      <c r="I409" s="10">
        <v>0.14999999999999999</v>
      </c>
      <c r="J409" s="7" t="s">
        <v>93</v>
      </c>
      <c r="K409" s="7" t="s">
        <v>65</v>
      </c>
      <c r="L409" s="7" t="s">
        <v>74</v>
      </c>
      <c r="M409" s="11">
        <f t="shared" si="30"/>
        <v>1615</v>
      </c>
      <c r="N409" t="str">
        <f t="shared" si="31"/>
        <v>Sep</v>
      </c>
      <c r="O409">
        <f t="shared" si="32"/>
        <v>3</v>
      </c>
      <c r="P409">
        <f>VLOOKUP(F409,Products!A:C,3,FALSE)</f>
        <v>1178</v>
      </c>
      <c r="Q409" s="12">
        <f t="shared" si="33"/>
        <v>437</v>
      </c>
    </row>
    <row r="410" ht="15">
      <c r="A410" s="7" t="s">
        <v>502</v>
      </c>
      <c r="B410" s="8">
        <v>45909</v>
      </c>
      <c r="C410" s="7" t="s">
        <v>40</v>
      </c>
      <c r="D410" s="7" t="s">
        <v>80</v>
      </c>
      <c r="E410" s="7" t="s">
        <v>34</v>
      </c>
      <c r="F410" s="7" t="s">
        <v>69</v>
      </c>
      <c r="G410" s="7">
        <v>15</v>
      </c>
      <c r="H410" s="9">
        <v>120</v>
      </c>
      <c r="I410" s="10">
        <v>5.0000000000000003e-002</v>
      </c>
      <c r="J410" s="7" t="s">
        <v>83</v>
      </c>
      <c r="K410" s="7" t="s">
        <v>65</v>
      </c>
      <c r="L410" s="7" t="s">
        <v>78</v>
      </c>
      <c r="M410" s="11">
        <f t="shared" si="30"/>
        <v>1710</v>
      </c>
      <c r="N410" t="str">
        <f t="shared" si="31"/>
        <v>Sep</v>
      </c>
      <c r="O410">
        <f t="shared" si="32"/>
        <v>3</v>
      </c>
      <c r="P410">
        <f>VLOOKUP(F410,Products!A:C,3,FALSE)</f>
        <v>74</v>
      </c>
      <c r="Q410" s="12">
        <f t="shared" si="33"/>
        <v>600</v>
      </c>
    </row>
    <row r="411" ht="15">
      <c r="A411" s="7" t="s">
        <v>503</v>
      </c>
      <c r="B411" s="8">
        <v>45909</v>
      </c>
      <c r="C411" s="7" t="s">
        <v>40</v>
      </c>
      <c r="D411" s="7" t="s">
        <v>98</v>
      </c>
      <c r="E411" s="7" t="s">
        <v>29</v>
      </c>
      <c r="F411" s="7" t="s">
        <v>120</v>
      </c>
      <c r="G411" s="7">
        <v>3</v>
      </c>
      <c r="H411" s="9">
        <v>2300</v>
      </c>
      <c r="I411" s="10">
        <v>0</v>
      </c>
      <c r="J411" s="7" t="s">
        <v>93</v>
      </c>
      <c r="K411" s="7" t="s">
        <v>65</v>
      </c>
      <c r="L411" s="7" t="s">
        <v>90</v>
      </c>
      <c r="M411" s="11">
        <f t="shared" si="30"/>
        <v>6900</v>
      </c>
      <c r="N411" t="str">
        <f t="shared" si="31"/>
        <v>Sep</v>
      </c>
      <c r="O411">
        <f t="shared" si="32"/>
        <v>3</v>
      </c>
      <c r="P411">
        <f>VLOOKUP(F411,Products!A:C,3,FALSE)</f>
        <v>1426</v>
      </c>
      <c r="Q411" s="12">
        <f t="shared" si="33"/>
        <v>2622</v>
      </c>
    </row>
    <row r="412" ht="15">
      <c r="A412" s="7" t="s">
        <v>504</v>
      </c>
      <c r="B412" s="8">
        <v>45909</v>
      </c>
      <c r="C412" s="7" t="s">
        <v>23</v>
      </c>
      <c r="D412" s="7" t="s">
        <v>95</v>
      </c>
      <c r="E412" s="7" t="s">
        <v>34</v>
      </c>
      <c r="F412" s="7" t="s">
        <v>69</v>
      </c>
      <c r="G412" s="7">
        <v>12</v>
      </c>
      <c r="H412" s="9">
        <v>120</v>
      </c>
      <c r="I412" s="10">
        <v>0.14999999999999999</v>
      </c>
      <c r="J412" s="7" t="s">
        <v>93</v>
      </c>
      <c r="K412" s="7" t="s">
        <v>65</v>
      </c>
      <c r="L412" s="7" t="s">
        <v>74</v>
      </c>
      <c r="M412" s="11">
        <f t="shared" si="30"/>
        <v>1224</v>
      </c>
      <c r="N412" t="str">
        <f t="shared" si="31"/>
        <v>Sep</v>
      </c>
      <c r="O412">
        <f t="shared" si="32"/>
        <v>3</v>
      </c>
      <c r="P412">
        <f>VLOOKUP(F412,Products!A:C,3,FALSE)</f>
        <v>74</v>
      </c>
      <c r="Q412" s="12">
        <f t="shared" si="33"/>
        <v>336</v>
      </c>
    </row>
    <row r="413" ht="15">
      <c r="A413" s="7" t="s">
        <v>505</v>
      </c>
      <c r="B413" s="8">
        <v>45910</v>
      </c>
      <c r="C413" s="7" t="s">
        <v>36</v>
      </c>
      <c r="D413" s="7" t="s">
        <v>76</v>
      </c>
      <c r="E413" s="7" t="s">
        <v>24</v>
      </c>
      <c r="F413" s="7" t="s">
        <v>38</v>
      </c>
      <c r="G413" s="7">
        <v>4</v>
      </c>
      <c r="H413" s="9">
        <v>12500</v>
      </c>
      <c r="I413" s="10">
        <v>0</v>
      </c>
      <c r="J413" s="7" t="s">
        <v>70</v>
      </c>
      <c r="K413" s="7" t="s">
        <v>65</v>
      </c>
      <c r="L413" s="7" t="s">
        <v>66</v>
      </c>
      <c r="M413" s="11">
        <f t="shared" si="30"/>
        <v>50000</v>
      </c>
      <c r="N413" t="str">
        <f t="shared" si="31"/>
        <v>Sep</v>
      </c>
      <c r="O413">
        <f t="shared" si="32"/>
        <v>3</v>
      </c>
      <c r="P413">
        <f>VLOOKUP(F413,Products!A:C,3,FALSE)</f>
        <v>7750</v>
      </c>
      <c r="Q413" s="12">
        <f t="shared" si="33"/>
        <v>19000</v>
      </c>
    </row>
    <row r="414" ht="15">
      <c r="A414" s="7" t="s">
        <v>506</v>
      </c>
      <c r="B414" s="8">
        <v>45911</v>
      </c>
      <c r="C414" s="7" t="s">
        <v>18</v>
      </c>
      <c r="D414" s="7" t="s">
        <v>63</v>
      </c>
      <c r="E414" s="7" t="s">
        <v>24</v>
      </c>
      <c r="F414" s="7" t="s">
        <v>38</v>
      </c>
      <c r="G414" s="7">
        <v>4</v>
      </c>
      <c r="H414" s="9">
        <v>12500</v>
      </c>
      <c r="I414" s="10">
        <v>5.0000000000000003e-002</v>
      </c>
      <c r="J414" s="7" t="s">
        <v>103</v>
      </c>
      <c r="K414" s="7" t="s">
        <v>65</v>
      </c>
      <c r="L414" s="7" t="s">
        <v>74</v>
      </c>
      <c r="M414" s="11">
        <f t="shared" si="30"/>
        <v>47500</v>
      </c>
      <c r="N414" t="str">
        <f t="shared" si="31"/>
        <v>Sep</v>
      </c>
      <c r="O414">
        <f t="shared" si="32"/>
        <v>3</v>
      </c>
      <c r="P414">
        <f>VLOOKUP(F414,Products!A:C,3,FALSE)</f>
        <v>7750</v>
      </c>
      <c r="Q414" s="12">
        <f t="shared" si="33"/>
        <v>16500</v>
      </c>
    </row>
    <row r="415" ht="15">
      <c r="A415" s="7" t="s">
        <v>507</v>
      </c>
      <c r="B415" s="8">
        <v>45911</v>
      </c>
      <c r="C415" s="7" t="s">
        <v>33</v>
      </c>
      <c r="D415" s="7" t="s">
        <v>102</v>
      </c>
      <c r="E415" s="7" t="s">
        <v>29</v>
      </c>
      <c r="F415" s="7" t="s">
        <v>120</v>
      </c>
      <c r="G415" s="7">
        <v>2</v>
      </c>
      <c r="H415" s="9">
        <v>2300</v>
      </c>
      <c r="I415" s="10">
        <v>0.10000000000000001</v>
      </c>
      <c r="J415" s="7" t="s">
        <v>83</v>
      </c>
      <c r="K415" s="7" t="s">
        <v>65</v>
      </c>
      <c r="L415" s="7" t="s">
        <v>78</v>
      </c>
      <c r="M415" s="11">
        <f t="shared" si="30"/>
        <v>4140</v>
      </c>
      <c r="N415" t="str">
        <f t="shared" si="31"/>
        <v>Sep</v>
      </c>
      <c r="O415">
        <f t="shared" si="32"/>
        <v>3</v>
      </c>
      <c r="P415">
        <f>VLOOKUP(F415,Products!A:C,3,FALSE)</f>
        <v>1426</v>
      </c>
      <c r="Q415" s="12">
        <f t="shared" si="33"/>
        <v>1288</v>
      </c>
    </row>
    <row r="416" ht="15">
      <c r="A416" s="7" t="s">
        <v>508</v>
      </c>
      <c r="B416" s="8">
        <v>45912</v>
      </c>
      <c r="C416" s="7" t="s">
        <v>36</v>
      </c>
      <c r="D416" s="7" t="s">
        <v>114</v>
      </c>
      <c r="E416" s="7" t="s">
        <v>24</v>
      </c>
      <c r="F416" s="7" t="s">
        <v>96</v>
      </c>
      <c r="G416" s="7">
        <v>4</v>
      </c>
      <c r="H416" s="9">
        <v>1450</v>
      </c>
      <c r="I416" s="10">
        <v>0</v>
      </c>
      <c r="J416" s="7" t="s">
        <v>64</v>
      </c>
      <c r="K416" s="7" t="s">
        <v>65</v>
      </c>
      <c r="L416" s="7" t="s">
        <v>90</v>
      </c>
      <c r="M416" s="11">
        <f t="shared" si="30"/>
        <v>5800</v>
      </c>
      <c r="N416" t="str">
        <f t="shared" si="31"/>
        <v>Sep</v>
      </c>
      <c r="O416">
        <f t="shared" si="32"/>
        <v>3</v>
      </c>
      <c r="P416">
        <f>VLOOKUP(F416,Products!A:C,3,FALSE)</f>
        <v>899</v>
      </c>
      <c r="Q416" s="12">
        <f t="shared" si="33"/>
        <v>2204</v>
      </c>
    </row>
    <row r="417" ht="15">
      <c r="A417" s="7" t="s">
        <v>509</v>
      </c>
      <c r="B417" s="8">
        <v>45913</v>
      </c>
      <c r="C417" s="7" t="s">
        <v>23</v>
      </c>
      <c r="D417" s="7" t="s">
        <v>95</v>
      </c>
      <c r="E417" s="7" t="s">
        <v>34</v>
      </c>
      <c r="F417" s="7" t="s">
        <v>86</v>
      </c>
      <c r="G417" s="7">
        <v>14</v>
      </c>
      <c r="H417" s="9">
        <v>210</v>
      </c>
      <c r="I417" s="10">
        <v>0</v>
      </c>
      <c r="J417" s="7" t="s">
        <v>70</v>
      </c>
      <c r="K417" s="7" t="s">
        <v>71</v>
      </c>
      <c r="L417" s="7" t="s">
        <v>78</v>
      </c>
      <c r="M417" s="11">
        <f t="shared" si="30"/>
        <v>2940</v>
      </c>
      <c r="N417" t="str">
        <f t="shared" si="31"/>
        <v>Sep</v>
      </c>
      <c r="O417">
        <f t="shared" si="32"/>
        <v>3</v>
      </c>
      <c r="P417">
        <f>VLOOKUP(F417,Products!A:C,3,FALSE)</f>
        <v>130</v>
      </c>
      <c r="Q417" s="12">
        <f t="shared" si="33"/>
        <v>1120</v>
      </c>
    </row>
    <row r="418" ht="15">
      <c r="A418" s="7" t="s">
        <v>510</v>
      </c>
      <c r="B418" s="8">
        <v>45913</v>
      </c>
      <c r="C418" s="7" t="s">
        <v>40</v>
      </c>
      <c r="D418" s="7" t="s">
        <v>98</v>
      </c>
      <c r="E418" s="7" t="s">
        <v>24</v>
      </c>
      <c r="F418" s="7" t="s">
        <v>35</v>
      </c>
      <c r="G418" s="7">
        <v>3</v>
      </c>
      <c r="H418" s="9">
        <v>8200</v>
      </c>
      <c r="I418" s="10">
        <v>0.10000000000000001</v>
      </c>
      <c r="J418" s="7" t="s">
        <v>103</v>
      </c>
      <c r="K418" s="7" t="s">
        <v>65</v>
      </c>
      <c r="L418" s="7" t="s">
        <v>74</v>
      </c>
      <c r="M418" s="11">
        <f t="shared" si="30"/>
        <v>22140</v>
      </c>
      <c r="N418" t="str">
        <f t="shared" si="31"/>
        <v>Sep</v>
      </c>
      <c r="O418">
        <f t="shared" si="32"/>
        <v>3</v>
      </c>
      <c r="P418">
        <f>VLOOKUP(F418,Products!A:C,3,FALSE)</f>
        <v>5084</v>
      </c>
      <c r="Q418" s="12">
        <f t="shared" si="33"/>
        <v>6888</v>
      </c>
    </row>
    <row r="419" ht="15">
      <c r="A419" s="7" t="s">
        <v>511</v>
      </c>
      <c r="B419" s="8">
        <v>45916</v>
      </c>
      <c r="C419" s="7" t="s">
        <v>33</v>
      </c>
      <c r="D419" s="7" t="s">
        <v>68</v>
      </c>
      <c r="E419" s="7" t="s">
        <v>24</v>
      </c>
      <c r="F419" s="7" t="s">
        <v>26</v>
      </c>
      <c r="G419" s="7">
        <v>4</v>
      </c>
      <c r="H419" s="9">
        <v>3100</v>
      </c>
      <c r="I419" s="10">
        <v>5.0000000000000003e-002</v>
      </c>
      <c r="J419" s="7" t="s">
        <v>93</v>
      </c>
      <c r="K419" s="7" t="s">
        <v>65</v>
      </c>
      <c r="L419" s="7" t="s">
        <v>78</v>
      </c>
      <c r="M419" s="11">
        <f t="shared" si="30"/>
        <v>11780</v>
      </c>
      <c r="N419" t="str">
        <f t="shared" si="31"/>
        <v>Sep</v>
      </c>
      <c r="O419">
        <f t="shared" si="32"/>
        <v>3</v>
      </c>
      <c r="P419">
        <f>VLOOKUP(F419,Products!A:C,3,FALSE)</f>
        <v>1922</v>
      </c>
      <c r="Q419" s="12">
        <f t="shared" si="33"/>
        <v>4092</v>
      </c>
    </row>
    <row r="420" ht="15">
      <c r="A420" s="7" t="s">
        <v>512</v>
      </c>
      <c r="B420" s="8">
        <v>45916</v>
      </c>
      <c r="C420" s="7" t="s">
        <v>40</v>
      </c>
      <c r="D420" s="7" t="s">
        <v>80</v>
      </c>
      <c r="E420" s="7" t="s">
        <v>34</v>
      </c>
      <c r="F420" s="7" t="s">
        <v>69</v>
      </c>
      <c r="G420" s="7">
        <v>9</v>
      </c>
      <c r="H420" s="9">
        <v>120</v>
      </c>
      <c r="I420" s="10">
        <v>0.14999999999999999</v>
      </c>
      <c r="J420" s="7" t="s">
        <v>83</v>
      </c>
      <c r="K420" s="7" t="s">
        <v>65</v>
      </c>
      <c r="L420" s="7" t="s">
        <v>78</v>
      </c>
      <c r="M420" s="11">
        <f t="shared" ref="M420:M483" si="34">G420*H420*(1-I420)</f>
        <v>918</v>
      </c>
      <c r="N420" t="str">
        <f t="shared" ref="N420:N483" si="35">TEXT(B420,"mmm")</f>
        <v>Sep</v>
      </c>
      <c r="O420">
        <f t="shared" ref="O420:O483" si="36">ROUNDUP(MONTH(B420)/3,0)</f>
        <v>3</v>
      </c>
      <c r="P420">
        <f>VLOOKUP(F420,Products!A:C,3,FALSE)</f>
        <v>74</v>
      </c>
      <c r="Q420" s="12">
        <f t="shared" ref="Q420:Q483" si="37">M420-(G420*P420)</f>
        <v>252</v>
      </c>
    </row>
    <row r="421" ht="15">
      <c r="A421" s="7" t="s">
        <v>513</v>
      </c>
      <c r="B421" s="8">
        <v>45917</v>
      </c>
      <c r="C421" s="7" t="s">
        <v>18</v>
      </c>
      <c r="D421" s="7" t="s">
        <v>63</v>
      </c>
      <c r="E421" s="7" t="s">
        <v>29</v>
      </c>
      <c r="F421" s="7" t="s">
        <v>120</v>
      </c>
      <c r="G421" s="7">
        <v>3</v>
      </c>
      <c r="H421" s="9">
        <v>2300</v>
      </c>
      <c r="I421" s="10">
        <v>0.14999999999999999</v>
      </c>
      <c r="J421" s="7" t="s">
        <v>93</v>
      </c>
      <c r="K421" s="7" t="s">
        <v>65</v>
      </c>
      <c r="L421" s="7" t="s">
        <v>66</v>
      </c>
      <c r="M421" s="11">
        <f t="shared" si="34"/>
        <v>5865</v>
      </c>
      <c r="N421" t="str">
        <f t="shared" si="35"/>
        <v>Sep</v>
      </c>
      <c r="O421">
        <f t="shared" si="36"/>
        <v>3</v>
      </c>
      <c r="P421">
        <f>VLOOKUP(F421,Products!A:C,3,FALSE)</f>
        <v>1426</v>
      </c>
      <c r="Q421" s="12">
        <f t="shared" si="37"/>
        <v>1587</v>
      </c>
    </row>
    <row r="422" ht="15">
      <c r="A422" s="7" t="s">
        <v>514</v>
      </c>
      <c r="B422" s="8">
        <v>45917</v>
      </c>
      <c r="C422" s="7" t="s">
        <v>18</v>
      </c>
      <c r="D422" s="7" t="s">
        <v>63</v>
      </c>
      <c r="E422" s="7" t="s">
        <v>19</v>
      </c>
      <c r="F422" s="7" t="s">
        <v>106</v>
      </c>
      <c r="G422" s="7">
        <v>4</v>
      </c>
      <c r="H422" s="9">
        <v>180</v>
      </c>
      <c r="I422" s="10">
        <v>0.14999999999999999</v>
      </c>
      <c r="J422" s="7" t="s">
        <v>103</v>
      </c>
      <c r="K422" s="7" t="s">
        <v>65</v>
      </c>
      <c r="L422" s="7" t="s">
        <v>74</v>
      </c>
      <c r="M422" s="11">
        <f t="shared" si="34"/>
        <v>612</v>
      </c>
      <c r="N422" t="str">
        <f t="shared" si="35"/>
        <v>Sep</v>
      </c>
      <c r="O422">
        <f t="shared" si="36"/>
        <v>3</v>
      </c>
      <c r="P422">
        <f>VLOOKUP(F422,Products!A:C,3,FALSE)</f>
        <v>112</v>
      </c>
      <c r="Q422" s="12">
        <f t="shared" si="37"/>
        <v>164</v>
      </c>
    </row>
    <row r="423" ht="15">
      <c r="A423" s="7" t="s">
        <v>515</v>
      </c>
      <c r="B423" s="8">
        <v>45917</v>
      </c>
      <c r="C423" s="7" t="s">
        <v>36</v>
      </c>
      <c r="D423" s="7" t="s">
        <v>76</v>
      </c>
      <c r="E423" s="7" t="s">
        <v>24</v>
      </c>
      <c r="F423" s="7" t="s">
        <v>31</v>
      </c>
      <c r="G423" s="7">
        <v>2</v>
      </c>
      <c r="H423" s="9">
        <v>5400</v>
      </c>
      <c r="I423" s="10">
        <v>0</v>
      </c>
      <c r="J423" s="7" t="s">
        <v>89</v>
      </c>
      <c r="K423" s="7" t="s">
        <v>71</v>
      </c>
      <c r="L423" s="7" t="s">
        <v>66</v>
      </c>
      <c r="M423" s="11">
        <f t="shared" si="34"/>
        <v>10800</v>
      </c>
      <c r="N423" t="str">
        <f t="shared" si="35"/>
        <v>Sep</v>
      </c>
      <c r="O423">
        <f t="shared" si="36"/>
        <v>3</v>
      </c>
      <c r="P423">
        <f>VLOOKUP(F423,Products!A:C,3,FALSE)</f>
        <v>3348</v>
      </c>
      <c r="Q423" s="12">
        <f t="shared" si="37"/>
        <v>4104</v>
      </c>
    </row>
    <row r="424" ht="15">
      <c r="A424" s="7" t="s">
        <v>516</v>
      </c>
      <c r="B424" s="8">
        <v>45918</v>
      </c>
      <c r="C424" s="7" t="s">
        <v>33</v>
      </c>
      <c r="D424" s="7" t="s">
        <v>102</v>
      </c>
      <c r="E424" s="7" t="s">
        <v>24</v>
      </c>
      <c r="F424" s="7" t="s">
        <v>38</v>
      </c>
      <c r="G424" s="7">
        <v>1</v>
      </c>
      <c r="H424" s="9">
        <v>12500</v>
      </c>
      <c r="I424" s="10">
        <v>0</v>
      </c>
      <c r="J424" s="7" t="s">
        <v>103</v>
      </c>
      <c r="K424" s="7" t="s">
        <v>65</v>
      </c>
      <c r="L424" s="7" t="s">
        <v>90</v>
      </c>
      <c r="M424" s="11">
        <f t="shared" si="34"/>
        <v>12500</v>
      </c>
      <c r="N424" t="str">
        <f t="shared" si="35"/>
        <v>Sep</v>
      </c>
      <c r="O424">
        <f t="shared" si="36"/>
        <v>3</v>
      </c>
      <c r="P424">
        <f>VLOOKUP(F424,Products!A:C,3,FALSE)</f>
        <v>7750</v>
      </c>
      <c r="Q424" s="12">
        <f t="shared" si="37"/>
        <v>4750</v>
      </c>
    </row>
    <row r="425" ht="15">
      <c r="A425" s="7" t="s">
        <v>517</v>
      </c>
      <c r="B425" s="8">
        <v>45918</v>
      </c>
      <c r="C425" s="7" t="s">
        <v>33</v>
      </c>
      <c r="D425" s="7" t="s">
        <v>102</v>
      </c>
      <c r="E425" s="7" t="s">
        <v>34</v>
      </c>
      <c r="F425" s="7" t="s">
        <v>69</v>
      </c>
      <c r="G425" s="7">
        <v>24</v>
      </c>
      <c r="H425" s="9">
        <v>120</v>
      </c>
      <c r="I425" s="10">
        <v>0</v>
      </c>
      <c r="J425" s="7" t="s">
        <v>89</v>
      </c>
      <c r="K425" s="7" t="s">
        <v>71</v>
      </c>
      <c r="L425" s="7" t="s">
        <v>66</v>
      </c>
      <c r="M425" s="11">
        <f t="shared" si="34"/>
        <v>2880</v>
      </c>
      <c r="N425" t="str">
        <f t="shared" si="35"/>
        <v>Sep</v>
      </c>
      <c r="O425">
        <f t="shared" si="36"/>
        <v>3</v>
      </c>
      <c r="P425">
        <f>VLOOKUP(F425,Products!A:C,3,FALSE)</f>
        <v>74</v>
      </c>
      <c r="Q425" s="12">
        <f t="shared" si="37"/>
        <v>1104</v>
      </c>
    </row>
    <row r="426" ht="15">
      <c r="A426" s="7" t="s">
        <v>518</v>
      </c>
      <c r="B426" s="8">
        <v>45918</v>
      </c>
      <c r="C426" s="7" t="s">
        <v>33</v>
      </c>
      <c r="D426" s="7" t="s">
        <v>102</v>
      </c>
      <c r="E426" s="7" t="s">
        <v>24</v>
      </c>
      <c r="F426" s="7" t="s">
        <v>96</v>
      </c>
      <c r="G426" s="7">
        <v>2</v>
      </c>
      <c r="H426" s="9">
        <v>1450</v>
      </c>
      <c r="I426" s="10">
        <v>0</v>
      </c>
      <c r="J426" s="7" t="s">
        <v>64</v>
      </c>
      <c r="K426" s="7" t="s">
        <v>65</v>
      </c>
      <c r="L426" s="7" t="s">
        <v>66</v>
      </c>
      <c r="M426" s="11">
        <f t="shared" si="34"/>
        <v>2900</v>
      </c>
      <c r="N426" t="str">
        <f t="shared" si="35"/>
        <v>Sep</v>
      </c>
      <c r="O426">
        <f t="shared" si="36"/>
        <v>3</v>
      </c>
      <c r="P426">
        <f>VLOOKUP(F426,Products!A:C,3,FALSE)</f>
        <v>899</v>
      </c>
      <c r="Q426" s="12">
        <f t="shared" si="37"/>
        <v>1102</v>
      </c>
    </row>
    <row r="427" ht="15">
      <c r="A427" s="7" t="s">
        <v>519</v>
      </c>
      <c r="B427" s="8">
        <v>45919</v>
      </c>
      <c r="C427" s="7" t="s">
        <v>40</v>
      </c>
      <c r="D427" s="7" t="s">
        <v>80</v>
      </c>
      <c r="E427" s="7" t="s">
        <v>24</v>
      </c>
      <c r="F427" s="7" t="s">
        <v>96</v>
      </c>
      <c r="G427" s="7">
        <v>1</v>
      </c>
      <c r="H427" s="9">
        <v>1450</v>
      </c>
      <c r="I427" s="10">
        <v>0.10000000000000001</v>
      </c>
      <c r="J427" s="7" t="s">
        <v>70</v>
      </c>
      <c r="K427" s="7" t="s">
        <v>65</v>
      </c>
      <c r="L427" s="7" t="s">
        <v>78</v>
      </c>
      <c r="M427" s="11">
        <f t="shared" si="34"/>
        <v>1305</v>
      </c>
      <c r="N427" t="str">
        <f t="shared" si="35"/>
        <v>Sep</v>
      </c>
      <c r="O427">
        <f t="shared" si="36"/>
        <v>3</v>
      </c>
      <c r="P427">
        <f>VLOOKUP(F427,Products!A:C,3,FALSE)</f>
        <v>899</v>
      </c>
      <c r="Q427" s="12">
        <f t="shared" si="37"/>
        <v>406</v>
      </c>
    </row>
    <row r="428" ht="15">
      <c r="A428" s="7" t="s">
        <v>520</v>
      </c>
      <c r="B428" s="8">
        <v>45919</v>
      </c>
      <c r="C428" s="7" t="s">
        <v>36</v>
      </c>
      <c r="D428" s="7" t="s">
        <v>76</v>
      </c>
      <c r="E428" s="7" t="s">
        <v>24</v>
      </c>
      <c r="F428" s="7" t="s">
        <v>26</v>
      </c>
      <c r="G428" s="7">
        <v>1</v>
      </c>
      <c r="H428" s="9">
        <v>3100</v>
      </c>
      <c r="I428" s="10">
        <v>0</v>
      </c>
      <c r="J428" s="7" t="s">
        <v>89</v>
      </c>
      <c r="K428" s="7" t="s">
        <v>65</v>
      </c>
      <c r="L428" s="7" t="s">
        <v>66</v>
      </c>
      <c r="M428" s="11">
        <f t="shared" si="34"/>
        <v>3100</v>
      </c>
      <c r="N428" t="str">
        <f t="shared" si="35"/>
        <v>Sep</v>
      </c>
      <c r="O428">
        <f t="shared" si="36"/>
        <v>3</v>
      </c>
      <c r="P428">
        <f>VLOOKUP(F428,Products!A:C,3,FALSE)</f>
        <v>1922</v>
      </c>
      <c r="Q428" s="12">
        <f t="shared" si="37"/>
        <v>1178</v>
      </c>
    </row>
    <row r="429" ht="15">
      <c r="A429" s="7" t="s">
        <v>521</v>
      </c>
      <c r="B429" s="8">
        <v>45922</v>
      </c>
      <c r="C429" s="7" t="s">
        <v>40</v>
      </c>
      <c r="D429" s="7" t="s">
        <v>80</v>
      </c>
      <c r="E429" s="7" t="s">
        <v>29</v>
      </c>
      <c r="F429" s="7" t="s">
        <v>120</v>
      </c>
      <c r="G429" s="7">
        <v>2</v>
      </c>
      <c r="H429" s="9">
        <v>2300</v>
      </c>
      <c r="I429" s="10">
        <v>0</v>
      </c>
      <c r="J429" s="7" t="s">
        <v>93</v>
      </c>
      <c r="K429" s="7" t="s">
        <v>65</v>
      </c>
      <c r="L429" s="7" t="s">
        <v>74</v>
      </c>
      <c r="M429" s="11">
        <f t="shared" si="34"/>
        <v>4600</v>
      </c>
      <c r="N429" t="str">
        <f t="shared" si="35"/>
        <v>Sep</v>
      </c>
      <c r="O429">
        <f t="shared" si="36"/>
        <v>3</v>
      </c>
      <c r="P429">
        <f>VLOOKUP(F429,Products!A:C,3,FALSE)</f>
        <v>1426</v>
      </c>
      <c r="Q429" s="12">
        <f t="shared" si="37"/>
        <v>1748</v>
      </c>
    </row>
    <row r="430" ht="15">
      <c r="A430" s="7" t="s">
        <v>522</v>
      </c>
      <c r="B430" s="8">
        <v>45922</v>
      </c>
      <c r="C430" s="7" t="s">
        <v>33</v>
      </c>
      <c r="D430" s="7" t="s">
        <v>68</v>
      </c>
      <c r="E430" s="7" t="s">
        <v>29</v>
      </c>
      <c r="F430" s="7" t="s">
        <v>120</v>
      </c>
      <c r="G430" s="7">
        <v>3</v>
      </c>
      <c r="H430" s="9">
        <v>2300</v>
      </c>
      <c r="I430" s="10">
        <v>0.14999999999999999</v>
      </c>
      <c r="J430" s="7" t="s">
        <v>83</v>
      </c>
      <c r="K430" s="7" t="s">
        <v>65</v>
      </c>
      <c r="L430" s="7" t="s">
        <v>66</v>
      </c>
      <c r="M430" s="11">
        <f t="shared" si="34"/>
        <v>5865</v>
      </c>
      <c r="N430" t="str">
        <f t="shared" si="35"/>
        <v>Sep</v>
      </c>
      <c r="O430">
        <f t="shared" si="36"/>
        <v>3</v>
      </c>
      <c r="P430">
        <f>VLOOKUP(F430,Products!A:C,3,FALSE)</f>
        <v>1426</v>
      </c>
      <c r="Q430" s="12">
        <f t="shared" si="37"/>
        <v>1587</v>
      </c>
    </row>
    <row r="431" ht="15">
      <c r="A431" s="7" t="s">
        <v>523</v>
      </c>
      <c r="B431" s="8">
        <v>45923</v>
      </c>
      <c r="C431" s="7" t="s">
        <v>40</v>
      </c>
      <c r="D431" s="7" t="s">
        <v>85</v>
      </c>
      <c r="E431" s="7" t="s">
        <v>19</v>
      </c>
      <c r="F431" s="7" t="s">
        <v>106</v>
      </c>
      <c r="G431" s="7">
        <v>2</v>
      </c>
      <c r="H431" s="9">
        <v>180</v>
      </c>
      <c r="I431" s="10">
        <v>0</v>
      </c>
      <c r="J431" s="7" t="s">
        <v>93</v>
      </c>
      <c r="K431" s="7" t="s">
        <v>65</v>
      </c>
      <c r="L431" s="7" t="s">
        <v>74</v>
      </c>
      <c r="M431" s="11">
        <f t="shared" si="34"/>
        <v>360</v>
      </c>
      <c r="N431" t="str">
        <f t="shared" si="35"/>
        <v>Sep</v>
      </c>
      <c r="O431">
        <f t="shared" si="36"/>
        <v>3</v>
      </c>
      <c r="P431">
        <f>VLOOKUP(F431,Products!A:C,3,FALSE)</f>
        <v>112</v>
      </c>
      <c r="Q431" s="12">
        <f t="shared" si="37"/>
        <v>136</v>
      </c>
    </row>
    <row r="432" ht="15">
      <c r="A432" s="7" t="s">
        <v>524</v>
      </c>
      <c r="B432" s="8">
        <v>45924</v>
      </c>
      <c r="C432" s="7" t="s">
        <v>36</v>
      </c>
      <c r="D432" s="7" t="s">
        <v>76</v>
      </c>
      <c r="E432" s="7" t="s">
        <v>19</v>
      </c>
      <c r="F432" s="7" t="s">
        <v>73</v>
      </c>
      <c r="G432" s="7">
        <v>3</v>
      </c>
      <c r="H432" s="9">
        <v>650</v>
      </c>
      <c r="I432" s="10">
        <v>0</v>
      </c>
      <c r="J432" s="7" t="s">
        <v>64</v>
      </c>
      <c r="K432" s="7" t="s">
        <v>71</v>
      </c>
      <c r="L432" s="7" t="s">
        <v>66</v>
      </c>
      <c r="M432" s="11">
        <f t="shared" si="34"/>
        <v>1950</v>
      </c>
      <c r="N432" t="str">
        <f t="shared" si="35"/>
        <v>Sep</v>
      </c>
      <c r="O432">
        <f t="shared" si="36"/>
        <v>3</v>
      </c>
      <c r="P432">
        <f>VLOOKUP(F432,Products!A:C,3,FALSE)</f>
        <v>403</v>
      </c>
      <c r="Q432" s="12">
        <f t="shared" si="37"/>
        <v>741</v>
      </c>
    </row>
    <row r="433" ht="15">
      <c r="A433" s="7" t="s">
        <v>525</v>
      </c>
      <c r="B433" s="8">
        <v>45925</v>
      </c>
      <c r="C433" s="7" t="s">
        <v>33</v>
      </c>
      <c r="D433" s="7" t="s">
        <v>68</v>
      </c>
      <c r="E433" s="7" t="s">
        <v>29</v>
      </c>
      <c r="F433" s="7" t="s">
        <v>81</v>
      </c>
      <c r="G433" s="7">
        <v>3</v>
      </c>
      <c r="H433" s="9">
        <v>1900</v>
      </c>
      <c r="I433" s="10">
        <v>5.0000000000000003e-002</v>
      </c>
      <c r="J433" s="7" t="s">
        <v>83</v>
      </c>
      <c r="K433" s="7" t="s">
        <v>65</v>
      </c>
      <c r="L433" s="7" t="s">
        <v>78</v>
      </c>
      <c r="M433" s="11">
        <f t="shared" si="34"/>
        <v>5415</v>
      </c>
      <c r="N433" t="str">
        <f t="shared" si="35"/>
        <v>Sep</v>
      </c>
      <c r="O433">
        <f t="shared" si="36"/>
        <v>3</v>
      </c>
      <c r="P433">
        <f>VLOOKUP(F433,Products!A:C,3,FALSE)</f>
        <v>1178</v>
      </c>
      <c r="Q433" s="12">
        <f t="shared" si="37"/>
        <v>1881</v>
      </c>
    </row>
    <row r="434" ht="15">
      <c r="A434" s="7" t="s">
        <v>526</v>
      </c>
      <c r="B434" s="8">
        <v>45926</v>
      </c>
      <c r="C434" s="7" t="s">
        <v>40</v>
      </c>
      <c r="D434" s="7" t="s">
        <v>98</v>
      </c>
      <c r="E434" s="7" t="s">
        <v>19</v>
      </c>
      <c r="F434" s="7" t="s">
        <v>77</v>
      </c>
      <c r="G434" s="7">
        <v>2</v>
      </c>
      <c r="H434" s="9">
        <v>520</v>
      </c>
      <c r="I434" s="10">
        <v>0</v>
      </c>
      <c r="J434" s="7" t="s">
        <v>89</v>
      </c>
      <c r="K434" s="7" t="s">
        <v>71</v>
      </c>
      <c r="L434" s="7" t="s">
        <v>78</v>
      </c>
      <c r="M434" s="11">
        <f t="shared" si="34"/>
        <v>1040</v>
      </c>
      <c r="N434" t="str">
        <f t="shared" si="35"/>
        <v>Sep</v>
      </c>
      <c r="O434">
        <f t="shared" si="36"/>
        <v>3</v>
      </c>
      <c r="P434">
        <f>VLOOKUP(F434,Products!A:C,3,FALSE)</f>
        <v>322</v>
      </c>
      <c r="Q434" s="12">
        <f t="shared" si="37"/>
        <v>396</v>
      </c>
    </row>
    <row r="435" ht="15">
      <c r="A435" s="7" t="s">
        <v>527</v>
      </c>
      <c r="B435" s="8">
        <v>45928</v>
      </c>
      <c r="C435" s="7" t="s">
        <v>40</v>
      </c>
      <c r="D435" s="7" t="s">
        <v>98</v>
      </c>
      <c r="E435" s="7" t="s">
        <v>19</v>
      </c>
      <c r="F435" s="7" t="s">
        <v>73</v>
      </c>
      <c r="G435" s="7">
        <v>1</v>
      </c>
      <c r="H435" s="9">
        <v>650</v>
      </c>
      <c r="I435" s="10">
        <v>0.10000000000000001</v>
      </c>
      <c r="J435" s="7" t="s">
        <v>83</v>
      </c>
      <c r="K435" s="7" t="s">
        <v>65</v>
      </c>
      <c r="L435" s="7" t="s">
        <v>74</v>
      </c>
      <c r="M435" s="11">
        <f t="shared" si="34"/>
        <v>585</v>
      </c>
      <c r="N435" t="str">
        <f t="shared" si="35"/>
        <v>Sep</v>
      </c>
      <c r="O435">
        <f t="shared" si="36"/>
        <v>3</v>
      </c>
      <c r="P435">
        <f>VLOOKUP(F435,Products!A:C,3,FALSE)</f>
        <v>403</v>
      </c>
      <c r="Q435" s="12">
        <f t="shared" si="37"/>
        <v>182</v>
      </c>
    </row>
    <row r="436" ht="15">
      <c r="A436" s="7" t="s">
        <v>528</v>
      </c>
      <c r="B436" s="8">
        <v>45928</v>
      </c>
      <c r="C436" s="7" t="s">
        <v>33</v>
      </c>
      <c r="D436" s="7" t="s">
        <v>68</v>
      </c>
      <c r="E436" s="7" t="s">
        <v>24</v>
      </c>
      <c r="F436" s="7" t="s">
        <v>38</v>
      </c>
      <c r="G436" s="7">
        <v>2</v>
      </c>
      <c r="H436" s="9">
        <v>12500</v>
      </c>
      <c r="I436" s="10">
        <v>0</v>
      </c>
      <c r="J436" s="7" t="s">
        <v>70</v>
      </c>
      <c r="K436" s="7" t="s">
        <v>65</v>
      </c>
      <c r="L436" s="7" t="s">
        <v>66</v>
      </c>
      <c r="M436" s="11">
        <f t="shared" si="34"/>
        <v>25000</v>
      </c>
      <c r="N436" t="str">
        <f t="shared" si="35"/>
        <v>Sep</v>
      </c>
      <c r="O436">
        <f t="shared" si="36"/>
        <v>3</v>
      </c>
      <c r="P436">
        <f>VLOOKUP(F436,Products!A:C,3,FALSE)</f>
        <v>7750</v>
      </c>
      <c r="Q436" s="12">
        <f t="shared" si="37"/>
        <v>9500</v>
      </c>
    </row>
    <row r="437" ht="15">
      <c r="A437" s="7" t="s">
        <v>529</v>
      </c>
      <c r="B437" s="8">
        <v>45929</v>
      </c>
      <c r="C437" s="7" t="s">
        <v>33</v>
      </c>
      <c r="D437" s="7" t="s">
        <v>102</v>
      </c>
      <c r="E437" s="7" t="s">
        <v>24</v>
      </c>
      <c r="F437" s="7" t="s">
        <v>31</v>
      </c>
      <c r="G437" s="7">
        <v>4</v>
      </c>
      <c r="H437" s="9">
        <v>5400</v>
      </c>
      <c r="I437" s="10">
        <v>0</v>
      </c>
      <c r="J437" s="7" t="s">
        <v>83</v>
      </c>
      <c r="K437" s="7" t="s">
        <v>65</v>
      </c>
      <c r="L437" s="7" t="s">
        <v>74</v>
      </c>
      <c r="M437" s="11">
        <f t="shared" si="34"/>
        <v>21600</v>
      </c>
      <c r="N437" t="str">
        <f t="shared" si="35"/>
        <v>Sep</v>
      </c>
      <c r="O437">
        <f t="shared" si="36"/>
        <v>3</v>
      </c>
      <c r="P437">
        <f>VLOOKUP(F437,Products!A:C,3,FALSE)</f>
        <v>3348</v>
      </c>
      <c r="Q437" s="12">
        <f t="shared" si="37"/>
        <v>8208</v>
      </c>
    </row>
    <row r="438" ht="15">
      <c r="A438" s="7" t="s">
        <v>530</v>
      </c>
      <c r="B438" s="8">
        <v>45929</v>
      </c>
      <c r="C438" s="7" t="s">
        <v>28</v>
      </c>
      <c r="D438" s="7" t="s">
        <v>112</v>
      </c>
      <c r="E438" s="7" t="s">
        <v>19</v>
      </c>
      <c r="F438" s="7" t="s">
        <v>77</v>
      </c>
      <c r="G438" s="7">
        <v>2</v>
      </c>
      <c r="H438" s="9">
        <v>520</v>
      </c>
      <c r="I438" s="10">
        <v>5.0000000000000003e-002</v>
      </c>
      <c r="J438" s="7" t="s">
        <v>64</v>
      </c>
      <c r="K438" s="7" t="s">
        <v>65</v>
      </c>
      <c r="L438" s="7" t="s">
        <v>74</v>
      </c>
      <c r="M438" s="11">
        <f t="shared" si="34"/>
        <v>988</v>
      </c>
      <c r="N438" t="str">
        <f t="shared" si="35"/>
        <v>Sep</v>
      </c>
      <c r="O438">
        <f t="shared" si="36"/>
        <v>3</v>
      </c>
      <c r="P438">
        <f>VLOOKUP(F438,Products!A:C,3,FALSE)</f>
        <v>322</v>
      </c>
      <c r="Q438" s="12">
        <f t="shared" si="37"/>
        <v>344</v>
      </c>
    </row>
    <row r="439" ht="15">
      <c r="A439" s="7" t="s">
        <v>531</v>
      </c>
      <c r="B439" s="8">
        <v>45930</v>
      </c>
      <c r="C439" s="7" t="s">
        <v>36</v>
      </c>
      <c r="D439" s="7" t="s">
        <v>76</v>
      </c>
      <c r="E439" s="7" t="s">
        <v>19</v>
      </c>
      <c r="F439" s="7" t="s">
        <v>73</v>
      </c>
      <c r="G439" s="7">
        <v>1</v>
      </c>
      <c r="H439" s="9">
        <v>650</v>
      </c>
      <c r="I439" s="10">
        <v>0</v>
      </c>
      <c r="J439" s="7" t="s">
        <v>70</v>
      </c>
      <c r="K439" s="7" t="s">
        <v>65</v>
      </c>
      <c r="L439" s="7" t="s">
        <v>66</v>
      </c>
      <c r="M439" s="11">
        <f t="shared" si="34"/>
        <v>650</v>
      </c>
      <c r="N439" t="str">
        <f t="shared" si="35"/>
        <v>Sep</v>
      </c>
      <c r="O439">
        <f t="shared" si="36"/>
        <v>3</v>
      </c>
      <c r="P439">
        <f>VLOOKUP(F439,Products!A:C,3,FALSE)</f>
        <v>403</v>
      </c>
      <c r="Q439" s="12">
        <f t="shared" si="37"/>
        <v>247</v>
      </c>
    </row>
    <row r="440" ht="15">
      <c r="A440" s="7" t="s">
        <v>532</v>
      </c>
      <c r="B440" s="8">
        <v>45931</v>
      </c>
      <c r="C440" s="7" t="s">
        <v>40</v>
      </c>
      <c r="D440" s="7" t="s">
        <v>80</v>
      </c>
      <c r="E440" s="7" t="s">
        <v>29</v>
      </c>
      <c r="F440" s="7" t="s">
        <v>120</v>
      </c>
      <c r="G440" s="7">
        <v>2</v>
      </c>
      <c r="H440" s="9">
        <v>2300</v>
      </c>
      <c r="I440" s="10">
        <v>0.10000000000000001</v>
      </c>
      <c r="J440" s="7" t="s">
        <v>93</v>
      </c>
      <c r="K440" s="7" t="s">
        <v>65</v>
      </c>
      <c r="L440" s="7" t="s">
        <v>90</v>
      </c>
      <c r="M440" s="11">
        <f t="shared" si="34"/>
        <v>4140</v>
      </c>
      <c r="N440" t="str">
        <f t="shared" si="35"/>
        <v>Oct</v>
      </c>
      <c r="O440">
        <f t="shared" si="36"/>
        <v>4</v>
      </c>
      <c r="P440">
        <f>VLOOKUP(F440,Products!A:C,3,FALSE)</f>
        <v>1426</v>
      </c>
      <c r="Q440" s="12">
        <f t="shared" si="37"/>
        <v>1288</v>
      </c>
    </row>
    <row r="441" ht="15">
      <c r="A441" s="7" t="s">
        <v>533</v>
      </c>
      <c r="B441" s="8">
        <v>45931</v>
      </c>
      <c r="C441" s="7" t="s">
        <v>40</v>
      </c>
      <c r="D441" s="7" t="s">
        <v>80</v>
      </c>
      <c r="E441" s="7" t="s">
        <v>24</v>
      </c>
      <c r="F441" s="7" t="s">
        <v>38</v>
      </c>
      <c r="G441" s="7">
        <v>3</v>
      </c>
      <c r="H441" s="9">
        <v>12500</v>
      </c>
      <c r="I441" s="10">
        <v>0</v>
      </c>
      <c r="J441" s="7" t="s">
        <v>89</v>
      </c>
      <c r="K441" s="7" t="s">
        <v>71</v>
      </c>
      <c r="L441" s="7" t="s">
        <v>66</v>
      </c>
      <c r="M441" s="11">
        <f t="shared" si="34"/>
        <v>37500</v>
      </c>
      <c r="N441" t="str">
        <f t="shared" si="35"/>
        <v>Oct</v>
      </c>
      <c r="O441">
        <f t="shared" si="36"/>
        <v>4</v>
      </c>
      <c r="P441">
        <f>VLOOKUP(F441,Products!A:C,3,FALSE)</f>
        <v>7750</v>
      </c>
      <c r="Q441" s="12">
        <f t="shared" si="37"/>
        <v>14250</v>
      </c>
    </row>
    <row r="442" ht="15">
      <c r="A442" s="7" t="s">
        <v>534</v>
      </c>
      <c r="B442" s="8">
        <v>45931</v>
      </c>
      <c r="C442" s="7" t="s">
        <v>36</v>
      </c>
      <c r="D442" s="7" t="s">
        <v>114</v>
      </c>
      <c r="E442" s="7" t="s">
        <v>19</v>
      </c>
      <c r="F442" s="7" t="s">
        <v>77</v>
      </c>
      <c r="G442" s="7">
        <v>4</v>
      </c>
      <c r="H442" s="9">
        <v>520</v>
      </c>
      <c r="I442" s="10">
        <v>0.14999999999999999</v>
      </c>
      <c r="J442" s="7" t="s">
        <v>70</v>
      </c>
      <c r="K442" s="7" t="s">
        <v>65</v>
      </c>
      <c r="L442" s="7" t="s">
        <v>78</v>
      </c>
      <c r="M442" s="11">
        <f t="shared" si="34"/>
        <v>1768</v>
      </c>
      <c r="N442" t="str">
        <f t="shared" si="35"/>
        <v>Oct</v>
      </c>
      <c r="O442">
        <f t="shared" si="36"/>
        <v>4</v>
      </c>
      <c r="P442">
        <f>VLOOKUP(F442,Products!A:C,3,FALSE)</f>
        <v>322</v>
      </c>
      <c r="Q442" s="12">
        <f t="shared" si="37"/>
        <v>480</v>
      </c>
    </row>
    <row r="443" ht="15">
      <c r="A443" s="7" t="s">
        <v>535</v>
      </c>
      <c r="B443" s="8">
        <v>45932</v>
      </c>
      <c r="C443" s="7" t="s">
        <v>40</v>
      </c>
      <c r="D443" s="7" t="s">
        <v>98</v>
      </c>
      <c r="E443" s="7" t="s">
        <v>34</v>
      </c>
      <c r="F443" s="7" t="s">
        <v>69</v>
      </c>
      <c r="G443" s="7">
        <v>38</v>
      </c>
      <c r="H443" s="9">
        <v>120</v>
      </c>
      <c r="I443" s="10">
        <v>5.0000000000000003e-002</v>
      </c>
      <c r="J443" s="7" t="s">
        <v>93</v>
      </c>
      <c r="K443" s="7" t="s">
        <v>71</v>
      </c>
      <c r="L443" s="7" t="s">
        <v>66</v>
      </c>
      <c r="M443" s="11">
        <f t="shared" si="34"/>
        <v>4332</v>
      </c>
      <c r="N443" t="str">
        <f t="shared" si="35"/>
        <v>Oct</v>
      </c>
      <c r="O443">
        <f t="shared" si="36"/>
        <v>4</v>
      </c>
      <c r="P443">
        <f>VLOOKUP(F443,Products!A:C,3,FALSE)</f>
        <v>74</v>
      </c>
      <c r="Q443" s="12">
        <f t="shared" si="37"/>
        <v>1520</v>
      </c>
    </row>
    <row r="444" ht="15">
      <c r="A444" s="7" t="s">
        <v>536</v>
      </c>
      <c r="B444" s="8">
        <v>45932</v>
      </c>
      <c r="C444" s="7" t="s">
        <v>23</v>
      </c>
      <c r="D444" s="7" t="s">
        <v>95</v>
      </c>
      <c r="E444" s="7" t="s">
        <v>29</v>
      </c>
      <c r="F444" s="7" t="s">
        <v>81</v>
      </c>
      <c r="G444" s="7">
        <v>2</v>
      </c>
      <c r="H444" s="9">
        <v>1900</v>
      </c>
      <c r="I444" s="10">
        <v>5.0000000000000003e-002</v>
      </c>
      <c r="J444" s="7" t="s">
        <v>64</v>
      </c>
      <c r="K444" s="7" t="s">
        <v>65</v>
      </c>
      <c r="L444" s="7" t="s">
        <v>66</v>
      </c>
      <c r="M444" s="11">
        <f t="shared" si="34"/>
        <v>3610</v>
      </c>
      <c r="N444" t="str">
        <f t="shared" si="35"/>
        <v>Oct</v>
      </c>
      <c r="O444">
        <f t="shared" si="36"/>
        <v>4</v>
      </c>
      <c r="P444">
        <f>VLOOKUP(F444,Products!A:C,3,FALSE)</f>
        <v>1178</v>
      </c>
      <c r="Q444" s="12">
        <f t="shared" si="37"/>
        <v>1254</v>
      </c>
    </row>
    <row r="445" ht="15">
      <c r="A445" s="7" t="s">
        <v>537</v>
      </c>
      <c r="B445" s="8">
        <v>45932</v>
      </c>
      <c r="C445" s="7" t="s">
        <v>40</v>
      </c>
      <c r="D445" s="7" t="s">
        <v>98</v>
      </c>
      <c r="E445" s="7" t="s">
        <v>24</v>
      </c>
      <c r="F445" s="7" t="s">
        <v>96</v>
      </c>
      <c r="G445" s="7">
        <v>3</v>
      </c>
      <c r="H445" s="9">
        <v>1450</v>
      </c>
      <c r="I445" s="10">
        <v>0.10000000000000001</v>
      </c>
      <c r="J445" s="7" t="s">
        <v>89</v>
      </c>
      <c r="K445" s="7" t="s">
        <v>71</v>
      </c>
      <c r="L445" s="7" t="s">
        <v>74</v>
      </c>
      <c r="M445" s="11">
        <f t="shared" si="34"/>
        <v>3915</v>
      </c>
      <c r="N445" t="str">
        <f t="shared" si="35"/>
        <v>Oct</v>
      </c>
      <c r="O445">
        <f t="shared" si="36"/>
        <v>4</v>
      </c>
      <c r="P445">
        <f>VLOOKUP(F445,Products!A:C,3,FALSE)</f>
        <v>899</v>
      </c>
      <c r="Q445" s="12">
        <f t="shared" si="37"/>
        <v>1218</v>
      </c>
    </row>
    <row r="446" ht="15">
      <c r="A446" s="7" t="s">
        <v>538</v>
      </c>
      <c r="B446" s="8">
        <v>45932</v>
      </c>
      <c r="C446" s="7" t="s">
        <v>23</v>
      </c>
      <c r="D446" s="7" t="s">
        <v>95</v>
      </c>
      <c r="E446" s="7" t="s">
        <v>29</v>
      </c>
      <c r="F446" s="7" t="s">
        <v>21</v>
      </c>
      <c r="G446" s="7">
        <v>4</v>
      </c>
      <c r="H446" s="9">
        <v>3600</v>
      </c>
      <c r="I446" s="10">
        <v>0.14999999999999999</v>
      </c>
      <c r="J446" s="7" t="s">
        <v>70</v>
      </c>
      <c r="K446" s="7" t="s">
        <v>65</v>
      </c>
      <c r="L446" s="7" t="s">
        <v>74</v>
      </c>
      <c r="M446" s="11">
        <f t="shared" si="34"/>
        <v>12240</v>
      </c>
      <c r="N446" t="str">
        <f t="shared" si="35"/>
        <v>Oct</v>
      </c>
      <c r="O446">
        <f t="shared" si="36"/>
        <v>4</v>
      </c>
      <c r="P446">
        <f>VLOOKUP(F446,Products!A:C,3,FALSE)</f>
        <v>2232</v>
      </c>
      <c r="Q446" s="12">
        <f t="shared" si="37"/>
        <v>3312</v>
      </c>
    </row>
    <row r="447" ht="15">
      <c r="A447" s="7" t="s">
        <v>539</v>
      </c>
      <c r="B447" s="8">
        <v>45933</v>
      </c>
      <c r="C447" s="7" t="s">
        <v>23</v>
      </c>
      <c r="D447" s="7" t="s">
        <v>95</v>
      </c>
      <c r="E447" s="7" t="s">
        <v>34</v>
      </c>
      <c r="F447" s="7" t="s">
        <v>86</v>
      </c>
      <c r="G447" s="7">
        <v>20</v>
      </c>
      <c r="H447" s="9">
        <v>210</v>
      </c>
      <c r="I447" s="10">
        <v>0</v>
      </c>
      <c r="J447" s="7" t="s">
        <v>64</v>
      </c>
      <c r="K447" s="7" t="s">
        <v>65</v>
      </c>
      <c r="L447" s="7" t="s">
        <v>74</v>
      </c>
      <c r="M447" s="11">
        <f t="shared" si="34"/>
        <v>4200</v>
      </c>
      <c r="N447" t="str">
        <f t="shared" si="35"/>
        <v>Oct</v>
      </c>
      <c r="O447">
        <f t="shared" si="36"/>
        <v>4</v>
      </c>
      <c r="P447">
        <f>VLOOKUP(F447,Products!A:C,3,FALSE)</f>
        <v>130</v>
      </c>
      <c r="Q447" s="12">
        <f t="shared" si="37"/>
        <v>1600</v>
      </c>
    </row>
    <row r="448" ht="15">
      <c r="A448" s="7" t="s">
        <v>540</v>
      </c>
      <c r="B448" s="8">
        <v>45933</v>
      </c>
      <c r="C448" s="7" t="s">
        <v>36</v>
      </c>
      <c r="D448" s="7" t="s">
        <v>114</v>
      </c>
      <c r="E448" s="7" t="s">
        <v>24</v>
      </c>
      <c r="F448" s="7" t="s">
        <v>31</v>
      </c>
      <c r="G448" s="7">
        <v>2</v>
      </c>
      <c r="H448" s="9">
        <v>5400</v>
      </c>
      <c r="I448" s="10">
        <v>0</v>
      </c>
      <c r="J448" s="7" t="s">
        <v>64</v>
      </c>
      <c r="K448" s="7" t="s">
        <v>65</v>
      </c>
      <c r="L448" s="7" t="s">
        <v>74</v>
      </c>
      <c r="M448" s="11">
        <f t="shared" si="34"/>
        <v>10800</v>
      </c>
      <c r="N448" t="str">
        <f t="shared" si="35"/>
        <v>Oct</v>
      </c>
      <c r="O448">
        <f t="shared" si="36"/>
        <v>4</v>
      </c>
      <c r="P448">
        <f>VLOOKUP(F448,Products!A:C,3,FALSE)</f>
        <v>3348</v>
      </c>
      <c r="Q448" s="12">
        <f t="shared" si="37"/>
        <v>4104</v>
      </c>
    </row>
    <row r="449" ht="15">
      <c r="A449" s="7" t="s">
        <v>541</v>
      </c>
      <c r="B449" s="8">
        <v>45934</v>
      </c>
      <c r="C449" s="7" t="s">
        <v>28</v>
      </c>
      <c r="D449" s="7" t="s">
        <v>112</v>
      </c>
      <c r="E449" s="7" t="s">
        <v>34</v>
      </c>
      <c r="F449" s="7" t="s">
        <v>69</v>
      </c>
      <c r="G449" s="7">
        <v>23</v>
      </c>
      <c r="H449" s="9">
        <v>120</v>
      </c>
      <c r="I449" s="10">
        <v>0</v>
      </c>
      <c r="J449" s="7" t="s">
        <v>64</v>
      </c>
      <c r="K449" s="7" t="s">
        <v>65</v>
      </c>
      <c r="L449" s="7" t="s">
        <v>90</v>
      </c>
      <c r="M449" s="11">
        <f t="shared" si="34"/>
        <v>2760</v>
      </c>
      <c r="N449" t="str">
        <f t="shared" si="35"/>
        <v>Oct</v>
      </c>
      <c r="O449">
        <f t="shared" si="36"/>
        <v>4</v>
      </c>
      <c r="P449">
        <f>VLOOKUP(F449,Products!A:C,3,FALSE)</f>
        <v>74</v>
      </c>
      <c r="Q449" s="12">
        <f t="shared" si="37"/>
        <v>1058</v>
      </c>
    </row>
    <row r="450" ht="15">
      <c r="A450" s="7" t="s">
        <v>542</v>
      </c>
      <c r="B450" s="8">
        <v>45934</v>
      </c>
      <c r="C450" s="7" t="s">
        <v>33</v>
      </c>
      <c r="D450" s="7" t="s">
        <v>102</v>
      </c>
      <c r="E450" s="7" t="s">
        <v>19</v>
      </c>
      <c r="F450" s="7" t="s">
        <v>77</v>
      </c>
      <c r="G450" s="7">
        <v>4</v>
      </c>
      <c r="H450" s="9">
        <v>520</v>
      </c>
      <c r="I450" s="10">
        <v>0.10000000000000001</v>
      </c>
      <c r="J450" s="7" t="s">
        <v>64</v>
      </c>
      <c r="K450" s="7" t="s">
        <v>71</v>
      </c>
      <c r="L450" s="7" t="s">
        <v>74</v>
      </c>
      <c r="M450" s="11">
        <f t="shared" si="34"/>
        <v>1872</v>
      </c>
      <c r="N450" t="str">
        <f t="shared" si="35"/>
        <v>Oct</v>
      </c>
      <c r="O450">
        <f t="shared" si="36"/>
        <v>4</v>
      </c>
      <c r="P450">
        <f>VLOOKUP(F450,Products!A:C,3,FALSE)</f>
        <v>322</v>
      </c>
      <c r="Q450" s="12">
        <f t="shared" si="37"/>
        <v>584</v>
      </c>
    </row>
    <row r="451" ht="15">
      <c r="A451" s="7" t="s">
        <v>543</v>
      </c>
      <c r="B451" s="8">
        <v>45934</v>
      </c>
      <c r="C451" s="7" t="s">
        <v>36</v>
      </c>
      <c r="D451" s="7" t="s">
        <v>76</v>
      </c>
      <c r="E451" s="7" t="s">
        <v>34</v>
      </c>
      <c r="F451" s="7" t="s">
        <v>92</v>
      </c>
      <c r="G451" s="7">
        <v>15</v>
      </c>
      <c r="H451" s="9">
        <v>85</v>
      </c>
      <c r="I451" s="10">
        <v>0.14999999999999999</v>
      </c>
      <c r="J451" s="7" t="s">
        <v>89</v>
      </c>
      <c r="K451" s="7" t="s">
        <v>65</v>
      </c>
      <c r="L451" s="7" t="s">
        <v>90</v>
      </c>
      <c r="M451" s="11">
        <f t="shared" si="34"/>
        <v>1083.75</v>
      </c>
      <c r="N451" t="str">
        <f t="shared" si="35"/>
        <v>Oct</v>
      </c>
      <c r="O451">
        <f t="shared" si="36"/>
        <v>4</v>
      </c>
      <c r="P451">
        <f>VLOOKUP(F451,Products!A:C,3,FALSE)</f>
        <v>53</v>
      </c>
      <c r="Q451" s="12">
        <f t="shared" si="37"/>
        <v>288.75</v>
      </c>
    </row>
    <row r="452" ht="15">
      <c r="A452" s="7" t="s">
        <v>544</v>
      </c>
      <c r="B452" s="8">
        <v>45935</v>
      </c>
      <c r="C452" s="7" t="s">
        <v>33</v>
      </c>
      <c r="D452" s="7" t="s">
        <v>102</v>
      </c>
      <c r="E452" s="7" t="s">
        <v>34</v>
      </c>
      <c r="F452" s="7" t="s">
        <v>92</v>
      </c>
      <c r="G452" s="7">
        <v>29</v>
      </c>
      <c r="H452" s="9">
        <v>85</v>
      </c>
      <c r="I452" s="10">
        <v>5.0000000000000003e-002</v>
      </c>
      <c r="J452" s="7" t="s">
        <v>64</v>
      </c>
      <c r="K452" s="7" t="s">
        <v>65</v>
      </c>
      <c r="L452" s="7" t="s">
        <v>74</v>
      </c>
      <c r="M452" s="11">
        <f t="shared" si="34"/>
        <v>2341.75</v>
      </c>
      <c r="N452" t="str">
        <f t="shared" si="35"/>
        <v>Oct</v>
      </c>
      <c r="O452">
        <f t="shared" si="36"/>
        <v>4</v>
      </c>
      <c r="P452">
        <f>VLOOKUP(F452,Products!A:C,3,FALSE)</f>
        <v>53</v>
      </c>
      <c r="Q452" s="12">
        <f t="shared" si="37"/>
        <v>804.75</v>
      </c>
    </row>
    <row r="453" ht="15">
      <c r="A453" s="7" t="s">
        <v>545</v>
      </c>
      <c r="B453" s="8">
        <v>45935</v>
      </c>
      <c r="C453" s="7" t="s">
        <v>23</v>
      </c>
      <c r="D453" s="7" t="s">
        <v>105</v>
      </c>
      <c r="E453" s="7" t="s">
        <v>34</v>
      </c>
      <c r="F453" s="7" t="s">
        <v>69</v>
      </c>
      <c r="G453" s="7">
        <v>14</v>
      </c>
      <c r="H453" s="9">
        <v>120</v>
      </c>
      <c r="I453" s="10">
        <v>0.10000000000000001</v>
      </c>
      <c r="J453" s="7" t="s">
        <v>103</v>
      </c>
      <c r="K453" s="7" t="s">
        <v>65</v>
      </c>
      <c r="L453" s="7" t="s">
        <v>78</v>
      </c>
      <c r="M453" s="11">
        <f t="shared" si="34"/>
        <v>1512</v>
      </c>
      <c r="N453" t="str">
        <f t="shared" si="35"/>
        <v>Oct</v>
      </c>
      <c r="O453">
        <f t="shared" si="36"/>
        <v>4</v>
      </c>
      <c r="P453">
        <f>VLOOKUP(F453,Products!A:C,3,FALSE)</f>
        <v>74</v>
      </c>
      <c r="Q453" s="12">
        <f t="shared" si="37"/>
        <v>476</v>
      </c>
    </row>
    <row r="454" ht="15">
      <c r="A454" s="7" t="s">
        <v>546</v>
      </c>
      <c r="B454" s="8">
        <v>45936</v>
      </c>
      <c r="C454" s="7" t="s">
        <v>33</v>
      </c>
      <c r="D454" s="7" t="s">
        <v>102</v>
      </c>
      <c r="E454" s="7" t="s">
        <v>19</v>
      </c>
      <c r="F454" s="7" t="s">
        <v>106</v>
      </c>
      <c r="G454" s="7">
        <v>1</v>
      </c>
      <c r="H454" s="9">
        <v>180</v>
      </c>
      <c r="I454" s="10">
        <v>5.0000000000000003e-002</v>
      </c>
      <c r="J454" s="7" t="s">
        <v>89</v>
      </c>
      <c r="K454" s="7" t="s">
        <v>65</v>
      </c>
      <c r="L454" s="7" t="s">
        <v>78</v>
      </c>
      <c r="M454" s="11">
        <f t="shared" si="34"/>
        <v>171</v>
      </c>
      <c r="N454" t="str">
        <f t="shared" si="35"/>
        <v>Oct</v>
      </c>
      <c r="O454">
        <f t="shared" si="36"/>
        <v>4</v>
      </c>
      <c r="P454">
        <f>VLOOKUP(F454,Products!A:C,3,FALSE)</f>
        <v>112</v>
      </c>
      <c r="Q454" s="12">
        <f t="shared" si="37"/>
        <v>59</v>
      </c>
    </row>
    <row r="455" ht="15">
      <c r="A455" s="7" t="s">
        <v>547</v>
      </c>
      <c r="B455" s="8">
        <v>45936</v>
      </c>
      <c r="C455" s="7" t="s">
        <v>36</v>
      </c>
      <c r="D455" s="7" t="s">
        <v>76</v>
      </c>
      <c r="E455" s="7" t="s">
        <v>19</v>
      </c>
      <c r="F455" s="7" t="s">
        <v>106</v>
      </c>
      <c r="G455" s="7">
        <v>4</v>
      </c>
      <c r="H455" s="9">
        <v>180</v>
      </c>
      <c r="I455" s="10">
        <v>0</v>
      </c>
      <c r="J455" s="7" t="s">
        <v>103</v>
      </c>
      <c r="K455" s="7" t="s">
        <v>71</v>
      </c>
      <c r="L455" s="7" t="s">
        <v>90</v>
      </c>
      <c r="M455" s="11">
        <f t="shared" si="34"/>
        <v>720</v>
      </c>
      <c r="N455" t="str">
        <f t="shared" si="35"/>
        <v>Oct</v>
      </c>
      <c r="O455">
        <f t="shared" si="36"/>
        <v>4</v>
      </c>
      <c r="P455">
        <f>VLOOKUP(F455,Products!A:C,3,FALSE)</f>
        <v>112</v>
      </c>
      <c r="Q455" s="12">
        <f t="shared" si="37"/>
        <v>272</v>
      </c>
    </row>
    <row r="456" ht="15">
      <c r="A456" s="7" t="s">
        <v>548</v>
      </c>
      <c r="B456" s="8">
        <v>45936</v>
      </c>
      <c r="C456" s="7" t="s">
        <v>28</v>
      </c>
      <c r="D456" s="7" t="s">
        <v>112</v>
      </c>
      <c r="E456" s="7" t="s">
        <v>24</v>
      </c>
      <c r="F456" s="7" t="s">
        <v>96</v>
      </c>
      <c r="G456" s="7">
        <v>4</v>
      </c>
      <c r="H456" s="9">
        <v>1450</v>
      </c>
      <c r="I456" s="10">
        <v>0</v>
      </c>
      <c r="J456" s="7" t="s">
        <v>83</v>
      </c>
      <c r="K456" s="7" t="s">
        <v>71</v>
      </c>
      <c r="L456" s="7" t="s">
        <v>78</v>
      </c>
      <c r="M456" s="11">
        <f t="shared" si="34"/>
        <v>5800</v>
      </c>
      <c r="N456" t="str">
        <f t="shared" si="35"/>
        <v>Oct</v>
      </c>
      <c r="O456">
        <f t="shared" si="36"/>
        <v>4</v>
      </c>
      <c r="P456">
        <f>VLOOKUP(F456,Products!A:C,3,FALSE)</f>
        <v>899</v>
      </c>
      <c r="Q456" s="12">
        <f t="shared" si="37"/>
        <v>2204</v>
      </c>
    </row>
    <row r="457" ht="15">
      <c r="A457" s="7" t="s">
        <v>549</v>
      </c>
      <c r="B457" s="8">
        <v>45937</v>
      </c>
      <c r="C457" s="7" t="s">
        <v>40</v>
      </c>
      <c r="D457" s="7" t="s">
        <v>85</v>
      </c>
      <c r="E457" s="7" t="s">
        <v>29</v>
      </c>
      <c r="F457" s="7" t="s">
        <v>21</v>
      </c>
      <c r="G457" s="7">
        <v>2</v>
      </c>
      <c r="H457" s="9">
        <v>3600</v>
      </c>
      <c r="I457" s="10">
        <v>0</v>
      </c>
      <c r="J457" s="7" t="s">
        <v>93</v>
      </c>
      <c r="K457" s="7" t="s">
        <v>65</v>
      </c>
      <c r="L457" s="7" t="s">
        <v>90</v>
      </c>
      <c r="M457" s="11">
        <f t="shared" si="34"/>
        <v>7200</v>
      </c>
      <c r="N457" t="str">
        <f t="shared" si="35"/>
        <v>Oct</v>
      </c>
      <c r="O457">
        <f t="shared" si="36"/>
        <v>4</v>
      </c>
      <c r="P457">
        <f>VLOOKUP(F457,Products!A:C,3,FALSE)</f>
        <v>2232</v>
      </c>
      <c r="Q457" s="12">
        <f t="shared" si="37"/>
        <v>2736</v>
      </c>
    </row>
    <row r="458" ht="15">
      <c r="A458" s="7" t="s">
        <v>550</v>
      </c>
      <c r="B458" s="8">
        <v>45937</v>
      </c>
      <c r="C458" s="7" t="s">
        <v>40</v>
      </c>
      <c r="D458" s="7" t="s">
        <v>80</v>
      </c>
      <c r="E458" s="7" t="s">
        <v>24</v>
      </c>
      <c r="F458" s="7" t="s">
        <v>26</v>
      </c>
      <c r="G458" s="7">
        <v>1</v>
      </c>
      <c r="H458" s="9">
        <v>3100</v>
      </c>
      <c r="I458" s="10">
        <v>0.10000000000000001</v>
      </c>
      <c r="J458" s="7" t="s">
        <v>83</v>
      </c>
      <c r="K458" s="7" t="s">
        <v>65</v>
      </c>
      <c r="L458" s="7" t="s">
        <v>78</v>
      </c>
      <c r="M458" s="11">
        <f t="shared" si="34"/>
        <v>2790</v>
      </c>
      <c r="N458" t="str">
        <f t="shared" si="35"/>
        <v>Oct</v>
      </c>
      <c r="O458">
        <f t="shared" si="36"/>
        <v>4</v>
      </c>
      <c r="P458">
        <f>VLOOKUP(F458,Products!A:C,3,FALSE)</f>
        <v>1922</v>
      </c>
      <c r="Q458" s="12">
        <f t="shared" si="37"/>
        <v>868</v>
      </c>
    </row>
    <row r="459" ht="15">
      <c r="A459" s="7" t="s">
        <v>551</v>
      </c>
      <c r="B459" s="8">
        <v>45937</v>
      </c>
      <c r="C459" s="7" t="s">
        <v>36</v>
      </c>
      <c r="D459" s="7" t="s">
        <v>76</v>
      </c>
      <c r="E459" s="7" t="s">
        <v>29</v>
      </c>
      <c r="F459" s="7" t="s">
        <v>21</v>
      </c>
      <c r="G459" s="7">
        <v>4</v>
      </c>
      <c r="H459" s="9">
        <v>3600</v>
      </c>
      <c r="I459" s="10">
        <v>0</v>
      </c>
      <c r="J459" s="7" t="s">
        <v>103</v>
      </c>
      <c r="K459" s="7" t="s">
        <v>65</v>
      </c>
      <c r="L459" s="7" t="s">
        <v>66</v>
      </c>
      <c r="M459" s="11">
        <f t="shared" si="34"/>
        <v>14400</v>
      </c>
      <c r="N459" t="str">
        <f t="shared" si="35"/>
        <v>Oct</v>
      </c>
      <c r="O459">
        <f t="shared" si="36"/>
        <v>4</v>
      </c>
      <c r="P459">
        <f>VLOOKUP(F459,Products!A:C,3,FALSE)</f>
        <v>2232</v>
      </c>
      <c r="Q459" s="12">
        <f t="shared" si="37"/>
        <v>5472</v>
      </c>
    </row>
    <row r="460" ht="15">
      <c r="A460" s="7" t="s">
        <v>552</v>
      </c>
      <c r="B460" s="8">
        <v>45937</v>
      </c>
      <c r="C460" s="7" t="s">
        <v>23</v>
      </c>
      <c r="D460" s="7" t="s">
        <v>105</v>
      </c>
      <c r="E460" s="7" t="s">
        <v>24</v>
      </c>
      <c r="F460" s="7" t="s">
        <v>26</v>
      </c>
      <c r="G460" s="7">
        <v>3</v>
      </c>
      <c r="H460" s="9">
        <v>3100</v>
      </c>
      <c r="I460" s="10">
        <v>0.10000000000000001</v>
      </c>
      <c r="J460" s="7" t="s">
        <v>93</v>
      </c>
      <c r="K460" s="7" t="s">
        <v>71</v>
      </c>
      <c r="L460" s="7" t="s">
        <v>90</v>
      </c>
      <c r="M460" s="11">
        <f t="shared" si="34"/>
        <v>8370</v>
      </c>
      <c r="N460" t="str">
        <f t="shared" si="35"/>
        <v>Oct</v>
      </c>
      <c r="O460">
        <f t="shared" si="36"/>
        <v>4</v>
      </c>
      <c r="P460">
        <f>VLOOKUP(F460,Products!A:C,3,FALSE)</f>
        <v>1922</v>
      </c>
      <c r="Q460" s="12">
        <f t="shared" si="37"/>
        <v>2604</v>
      </c>
    </row>
    <row r="461" ht="15">
      <c r="A461" s="7" t="s">
        <v>553</v>
      </c>
      <c r="B461" s="8">
        <v>45938</v>
      </c>
      <c r="C461" s="7" t="s">
        <v>40</v>
      </c>
      <c r="D461" s="7" t="s">
        <v>80</v>
      </c>
      <c r="E461" s="7" t="s">
        <v>19</v>
      </c>
      <c r="F461" s="7" t="s">
        <v>106</v>
      </c>
      <c r="G461" s="7">
        <v>4</v>
      </c>
      <c r="H461" s="9">
        <v>180</v>
      </c>
      <c r="I461" s="10">
        <v>0</v>
      </c>
      <c r="J461" s="7" t="s">
        <v>93</v>
      </c>
      <c r="K461" s="7" t="s">
        <v>65</v>
      </c>
      <c r="L461" s="7" t="s">
        <v>90</v>
      </c>
      <c r="M461" s="11">
        <f t="shared" si="34"/>
        <v>720</v>
      </c>
      <c r="N461" t="str">
        <f t="shared" si="35"/>
        <v>Oct</v>
      </c>
      <c r="O461">
        <f t="shared" si="36"/>
        <v>4</v>
      </c>
      <c r="P461">
        <f>VLOOKUP(F461,Products!A:C,3,FALSE)</f>
        <v>112</v>
      </c>
      <c r="Q461" s="12">
        <f t="shared" si="37"/>
        <v>272</v>
      </c>
    </row>
    <row r="462" ht="15">
      <c r="A462" s="7" t="s">
        <v>554</v>
      </c>
      <c r="B462" s="8">
        <v>45939</v>
      </c>
      <c r="C462" s="7" t="s">
        <v>28</v>
      </c>
      <c r="D462" s="7" t="s">
        <v>112</v>
      </c>
      <c r="E462" s="7" t="s">
        <v>24</v>
      </c>
      <c r="F462" s="7" t="s">
        <v>26</v>
      </c>
      <c r="G462" s="7">
        <v>4</v>
      </c>
      <c r="H462" s="9">
        <v>3100</v>
      </c>
      <c r="I462" s="10">
        <v>0.14999999999999999</v>
      </c>
      <c r="J462" s="7" t="s">
        <v>64</v>
      </c>
      <c r="K462" s="7" t="s">
        <v>71</v>
      </c>
      <c r="L462" s="7" t="s">
        <v>78</v>
      </c>
      <c r="M462" s="11">
        <f t="shared" si="34"/>
        <v>10540</v>
      </c>
      <c r="N462" t="str">
        <f t="shared" si="35"/>
        <v>Oct</v>
      </c>
      <c r="O462">
        <f t="shared" si="36"/>
        <v>4</v>
      </c>
      <c r="P462">
        <f>VLOOKUP(F462,Products!A:C,3,FALSE)</f>
        <v>1922</v>
      </c>
      <c r="Q462" s="12">
        <f t="shared" si="37"/>
        <v>2852</v>
      </c>
    </row>
    <row r="463" ht="15">
      <c r="A463" s="7" t="s">
        <v>555</v>
      </c>
      <c r="B463" s="8">
        <v>45939</v>
      </c>
      <c r="C463" s="7" t="s">
        <v>40</v>
      </c>
      <c r="D463" s="7" t="s">
        <v>80</v>
      </c>
      <c r="E463" s="7" t="s">
        <v>19</v>
      </c>
      <c r="F463" s="7" t="s">
        <v>73</v>
      </c>
      <c r="G463" s="7">
        <v>2</v>
      </c>
      <c r="H463" s="9">
        <v>650</v>
      </c>
      <c r="I463" s="10">
        <v>0</v>
      </c>
      <c r="J463" s="7" t="s">
        <v>64</v>
      </c>
      <c r="K463" s="7" t="s">
        <v>65</v>
      </c>
      <c r="L463" s="7" t="s">
        <v>66</v>
      </c>
      <c r="M463" s="11">
        <f t="shared" si="34"/>
        <v>1300</v>
      </c>
      <c r="N463" t="str">
        <f t="shared" si="35"/>
        <v>Oct</v>
      </c>
      <c r="O463">
        <f t="shared" si="36"/>
        <v>4</v>
      </c>
      <c r="P463">
        <f>VLOOKUP(F463,Products!A:C,3,FALSE)</f>
        <v>403</v>
      </c>
      <c r="Q463" s="12">
        <f t="shared" si="37"/>
        <v>494</v>
      </c>
    </row>
    <row r="464" ht="15">
      <c r="A464" s="7" t="s">
        <v>556</v>
      </c>
      <c r="B464" s="8">
        <v>45939</v>
      </c>
      <c r="C464" s="7" t="s">
        <v>33</v>
      </c>
      <c r="D464" s="7" t="s">
        <v>102</v>
      </c>
      <c r="E464" s="7" t="s">
        <v>19</v>
      </c>
      <c r="F464" s="7" t="s">
        <v>106</v>
      </c>
      <c r="G464" s="7">
        <v>2</v>
      </c>
      <c r="H464" s="9">
        <v>180</v>
      </c>
      <c r="I464" s="10">
        <v>5.0000000000000003e-002</v>
      </c>
      <c r="J464" s="7" t="s">
        <v>89</v>
      </c>
      <c r="K464" s="7" t="s">
        <v>65</v>
      </c>
      <c r="L464" s="7" t="s">
        <v>78</v>
      </c>
      <c r="M464" s="11">
        <f t="shared" si="34"/>
        <v>342</v>
      </c>
      <c r="N464" t="str">
        <f t="shared" si="35"/>
        <v>Oct</v>
      </c>
      <c r="O464">
        <f t="shared" si="36"/>
        <v>4</v>
      </c>
      <c r="P464">
        <f>VLOOKUP(F464,Products!A:C,3,FALSE)</f>
        <v>112</v>
      </c>
      <c r="Q464" s="12">
        <f t="shared" si="37"/>
        <v>118</v>
      </c>
    </row>
    <row r="465" ht="15">
      <c r="A465" s="7" t="s">
        <v>557</v>
      </c>
      <c r="B465" s="8">
        <v>45939</v>
      </c>
      <c r="C465" s="7" t="s">
        <v>40</v>
      </c>
      <c r="D465" s="7" t="s">
        <v>80</v>
      </c>
      <c r="E465" s="7" t="s">
        <v>19</v>
      </c>
      <c r="F465" s="7" t="s">
        <v>77</v>
      </c>
      <c r="G465" s="7">
        <v>4</v>
      </c>
      <c r="H465" s="9">
        <v>520</v>
      </c>
      <c r="I465" s="10">
        <v>0</v>
      </c>
      <c r="J465" s="7" t="s">
        <v>103</v>
      </c>
      <c r="K465" s="7" t="s">
        <v>65</v>
      </c>
      <c r="L465" s="7" t="s">
        <v>66</v>
      </c>
      <c r="M465" s="11">
        <f t="shared" si="34"/>
        <v>2080</v>
      </c>
      <c r="N465" t="str">
        <f t="shared" si="35"/>
        <v>Oct</v>
      </c>
      <c r="O465">
        <f t="shared" si="36"/>
        <v>4</v>
      </c>
      <c r="P465">
        <f>VLOOKUP(F465,Products!A:C,3,FALSE)</f>
        <v>322</v>
      </c>
      <c r="Q465" s="12">
        <f t="shared" si="37"/>
        <v>792</v>
      </c>
    </row>
    <row r="466" ht="15">
      <c r="A466" s="7" t="s">
        <v>558</v>
      </c>
      <c r="B466" s="8">
        <v>45939</v>
      </c>
      <c r="C466" s="7" t="s">
        <v>36</v>
      </c>
      <c r="D466" s="7" t="s">
        <v>76</v>
      </c>
      <c r="E466" s="7" t="s">
        <v>24</v>
      </c>
      <c r="F466" s="7" t="s">
        <v>35</v>
      </c>
      <c r="G466" s="7">
        <v>4</v>
      </c>
      <c r="H466" s="9">
        <v>8200</v>
      </c>
      <c r="I466" s="10">
        <v>0.10000000000000001</v>
      </c>
      <c r="J466" s="7" t="s">
        <v>89</v>
      </c>
      <c r="K466" s="7" t="s">
        <v>65</v>
      </c>
      <c r="L466" s="7" t="s">
        <v>78</v>
      </c>
      <c r="M466" s="11">
        <f t="shared" si="34"/>
        <v>29520</v>
      </c>
      <c r="N466" t="str">
        <f t="shared" si="35"/>
        <v>Oct</v>
      </c>
      <c r="O466">
        <f t="shared" si="36"/>
        <v>4</v>
      </c>
      <c r="P466">
        <f>VLOOKUP(F466,Products!A:C,3,FALSE)</f>
        <v>5084</v>
      </c>
      <c r="Q466" s="12">
        <f t="shared" si="37"/>
        <v>9184</v>
      </c>
    </row>
    <row r="467" ht="15">
      <c r="A467" s="7" t="s">
        <v>559</v>
      </c>
      <c r="B467" s="8">
        <v>45940</v>
      </c>
      <c r="C467" s="7" t="s">
        <v>23</v>
      </c>
      <c r="D467" s="7" t="s">
        <v>105</v>
      </c>
      <c r="E467" s="7" t="s">
        <v>19</v>
      </c>
      <c r="F467" s="7" t="s">
        <v>106</v>
      </c>
      <c r="G467" s="7">
        <v>4</v>
      </c>
      <c r="H467" s="9">
        <v>180</v>
      </c>
      <c r="I467" s="10">
        <v>0</v>
      </c>
      <c r="J467" s="7" t="s">
        <v>64</v>
      </c>
      <c r="K467" s="7" t="s">
        <v>71</v>
      </c>
      <c r="L467" s="7" t="s">
        <v>66</v>
      </c>
      <c r="M467" s="11">
        <f t="shared" si="34"/>
        <v>720</v>
      </c>
      <c r="N467" t="str">
        <f t="shared" si="35"/>
        <v>Oct</v>
      </c>
      <c r="O467">
        <f t="shared" si="36"/>
        <v>4</v>
      </c>
      <c r="P467">
        <f>VLOOKUP(F467,Products!A:C,3,FALSE)</f>
        <v>112</v>
      </c>
      <c r="Q467" s="12">
        <f t="shared" si="37"/>
        <v>272</v>
      </c>
    </row>
    <row r="468" ht="15">
      <c r="A468" s="7" t="s">
        <v>560</v>
      </c>
      <c r="B468" s="8">
        <v>45940</v>
      </c>
      <c r="C468" s="7" t="s">
        <v>40</v>
      </c>
      <c r="D468" s="7" t="s">
        <v>80</v>
      </c>
      <c r="E468" s="7" t="s">
        <v>24</v>
      </c>
      <c r="F468" s="7" t="s">
        <v>96</v>
      </c>
      <c r="G468" s="7">
        <v>2</v>
      </c>
      <c r="H468" s="9">
        <v>1450</v>
      </c>
      <c r="I468" s="10">
        <v>0.10000000000000001</v>
      </c>
      <c r="J468" s="7" t="s">
        <v>64</v>
      </c>
      <c r="K468" s="7" t="s">
        <v>71</v>
      </c>
      <c r="L468" s="7" t="s">
        <v>66</v>
      </c>
      <c r="M468" s="11">
        <f t="shared" si="34"/>
        <v>2610</v>
      </c>
      <c r="N468" t="str">
        <f t="shared" si="35"/>
        <v>Oct</v>
      </c>
      <c r="O468">
        <f t="shared" si="36"/>
        <v>4</v>
      </c>
      <c r="P468">
        <f>VLOOKUP(F468,Products!A:C,3,FALSE)</f>
        <v>899</v>
      </c>
      <c r="Q468" s="12">
        <f t="shared" si="37"/>
        <v>812</v>
      </c>
    </row>
    <row r="469" ht="15">
      <c r="A469" s="7" t="s">
        <v>561</v>
      </c>
      <c r="B469" s="8">
        <v>45941</v>
      </c>
      <c r="C469" s="7" t="s">
        <v>36</v>
      </c>
      <c r="D469" s="7" t="s">
        <v>114</v>
      </c>
      <c r="E469" s="7" t="s">
        <v>24</v>
      </c>
      <c r="F469" s="7" t="s">
        <v>96</v>
      </c>
      <c r="G469" s="7">
        <v>1</v>
      </c>
      <c r="H469" s="9">
        <v>1450</v>
      </c>
      <c r="I469" s="10">
        <v>0</v>
      </c>
      <c r="J469" s="7" t="s">
        <v>70</v>
      </c>
      <c r="K469" s="7" t="s">
        <v>65</v>
      </c>
      <c r="L469" s="7" t="s">
        <v>90</v>
      </c>
      <c r="M469" s="11">
        <f t="shared" si="34"/>
        <v>1450</v>
      </c>
      <c r="N469" t="str">
        <f t="shared" si="35"/>
        <v>Oct</v>
      </c>
      <c r="O469">
        <f t="shared" si="36"/>
        <v>4</v>
      </c>
      <c r="P469">
        <f>VLOOKUP(F469,Products!A:C,3,FALSE)</f>
        <v>899</v>
      </c>
      <c r="Q469" s="12">
        <f t="shared" si="37"/>
        <v>551</v>
      </c>
    </row>
    <row r="470" ht="15">
      <c r="A470" s="7" t="s">
        <v>562</v>
      </c>
      <c r="B470" s="8">
        <v>45941</v>
      </c>
      <c r="C470" s="7" t="s">
        <v>33</v>
      </c>
      <c r="D470" s="7" t="s">
        <v>102</v>
      </c>
      <c r="E470" s="7" t="s">
        <v>29</v>
      </c>
      <c r="F470" s="7" t="s">
        <v>21</v>
      </c>
      <c r="G470" s="7">
        <v>1</v>
      </c>
      <c r="H470" s="9">
        <v>3600</v>
      </c>
      <c r="I470" s="10">
        <v>0</v>
      </c>
      <c r="J470" s="7" t="s">
        <v>83</v>
      </c>
      <c r="K470" s="7" t="s">
        <v>65</v>
      </c>
      <c r="L470" s="7" t="s">
        <v>66</v>
      </c>
      <c r="M470" s="11">
        <f t="shared" si="34"/>
        <v>3600</v>
      </c>
      <c r="N470" t="str">
        <f t="shared" si="35"/>
        <v>Oct</v>
      </c>
      <c r="O470">
        <f t="shared" si="36"/>
        <v>4</v>
      </c>
      <c r="P470">
        <f>VLOOKUP(F470,Products!A:C,3,FALSE)</f>
        <v>2232</v>
      </c>
      <c r="Q470" s="12">
        <f t="shared" si="37"/>
        <v>1368</v>
      </c>
    </row>
    <row r="471" ht="15">
      <c r="A471" s="7" t="s">
        <v>563</v>
      </c>
      <c r="B471" s="8">
        <v>45941</v>
      </c>
      <c r="C471" s="7" t="s">
        <v>28</v>
      </c>
      <c r="D471" s="7" t="s">
        <v>112</v>
      </c>
      <c r="E471" s="7" t="s">
        <v>29</v>
      </c>
      <c r="F471" s="7" t="s">
        <v>120</v>
      </c>
      <c r="G471" s="7">
        <v>2</v>
      </c>
      <c r="H471" s="9">
        <v>2300</v>
      </c>
      <c r="I471" s="10">
        <v>0.10000000000000001</v>
      </c>
      <c r="J471" s="7" t="s">
        <v>64</v>
      </c>
      <c r="K471" s="7" t="s">
        <v>65</v>
      </c>
      <c r="L471" s="7" t="s">
        <v>90</v>
      </c>
      <c r="M471" s="11">
        <f t="shared" si="34"/>
        <v>4140</v>
      </c>
      <c r="N471" t="str">
        <f t="shared" si="35"/>
        <v>Oct</v>
      </c>
      <c r="O471">
        <f t="shared" si="36"/>
        <v>4</v>
      </c>
      <c r="P471">
        <f>VLOOKUP(F471,Products!A:C,3,FALSE)</f>
        <v>1426</v>
      </c>
      <c r="Q471" s="12">
        <f t="shared" si="37"/>
        <v>1288</v>
      </c>
    </row>
    <row r="472" ht="15">
      <c r="A472" s="7" t="s">
        <v>564</v>
      </c>
      <c r="B472" s="8">
        <v>45941</v>
      </c>
      <c r="C472" s="7" t="s">
        <v>40</v>
      </c>
      <c r="D472" s="7" t="s">
        <v>98</v>
      </c>
      <c r="E472" s="7" t="s">
        <v>34</v>
      </c>
      <c r="F472" s="7" t="s">
        <v>92</v>
      </c>
      <c r="G472" s="7">
        <v>31</v>
      </c>
      <c r="H472" s="9">
        <v>85</v>
      </c>
      <c r="I472" s="10">
        <v>0.10000000000000001</v>
      </c>
      <c r="J472" s="7" t="s">
        <v>103</v>
      </c>
      <c r="K472" s="7" t="s">
        <v>65</v>
      </c>
      <c r="L472" s="7" t="s">
        <v>66</v>
      </c>
      <c r="M472" s="11">
        <f t="shared" si="34"/>
        <v>2371.5</v>
      </c>
      <c r="N472" t="str">
        <f t="shared" si="35"/>
        <v>Oct</v>
      </c>
      <c r="O472">
        <f t="shared" si="36"/>
        <v>4</v>
      </c>
      <c r="P472">
        <f>VLOOKUP(F472,Products!A:C,3,FALSE)</f>
        <v>53</v>
      </c>
      <c r="Q472" s="12">
        <f t="shared" si="37"/>
        <v>728.5</v>
      </c>
    </row>
    <row r="473" ht="15">
      <c r="A473" s="7" t="s">
        <v>565</v>
      </c>
      <c r="B473" s="8">
        <v>45941</v>
      </c>
      <c r="C473" s="7" t="s">
        <v>28</v>
      </c>
      <c r="D473" s="7" t="s">
        <v>112</v>
      </c>
      <c r="E473" s="7" t="s">
        <v>29</v>
      </c>
      <c r="F473" s="7" t="s">
        <v>120</v>
      </c>
      <c r="G473" s="7">
        <v>3</v>
      </c>
      <c r="H473" s="9">
        <v>2300</v>
      </c>
      <c r="I473" s="10">
        <v>0.14999999999999999</v>
      </c>
      <c r="J473" s="7" t="s">
        <v>70</v>
      </c>
      <c r="K473" s="7" t="s">
        <v>71</v>
      </c>
      <c r="L473" s="7" t="s">
        <v>90</v>
      </c>
      <c r="M473" s="11">
        <f t="shared" si="34"/>
        <v>5865</v>
      </c>
      <c r="N473" t="str">
        <f t="shared" si="35"/>
        <v>Oct</v>
      </c>
      <c r="O473">
        <f t="shared" si="36"/>
        <v>4</v>
      </c>
      <c r="P473">
        <f>VLOOKUP(F473,Products!A:C,3,FALSE)</f>
        <v>1426</v>
      </c>
      <c r="Q473" s="12">
        <f t="shared" si="37"/>
        <v>1587</v>
      </c>
    </row>
    <row r="474" ht="15">
      <c r="A474" s="7" t="s">
        <v>566</v>
      </c>
      <c r="B474" s="8">
        <v>45942</v>
      </c>
      <c r="C474" s="7" t="s">
        <v>40</v>
      </c>
      <c r="D474" s="7" t="s">
        <v>85</v>
      </c>
      <c r="E474" s="7" t="s">
        <v>19</v>
      </c>
      <c r="F474" s="7" t="s">
        <v>106</v>
      </c>
      <c r="G474" s="7">
        <v>4</v>
      </c>
      <c r="H474" s="9">
        <v>180</v>
      </c>
      <c r="I474" s="10">
        <v>0.14999999999999999</v>
      </c>
      <c r="J474" s="7" t="s">
        <v>70</v>
      </c>
      <c r="K474" s="7" t="s">
        <v>71</v>
      </c>
      <c r="L474" s="7" t="s">
        <v>78</v>
      </c>
      <c r="M474" s="11">
        <f t="shared" si="34"/>
        <v>612</v>
      </c>
      <c r="N474" t="str">
        <f t="shared" si="35"/>
        <v>Oct</v>
      </c>
      <c r="O474">
        <f t="shared" si="36"/>
        <v>4</v>
      </c>
      <c r="P474">
        <f>VLOOKUP(F474,Products!A:C,3,FALSE)</f>
        <v>112</v>
      </c>
      <c r="Q474" s="12">
        <f t="shared" si="37"/>
        <v>164</v>
      </c>
    </row>
    <row r="475" ht="15">
      <c r="A475" s="7" t="s">
        <v>567</v>
      </c>
      <c r="B475" s="8">
        <v>45943</v>
      </c>
      <c r="C475" s="7" t="s">
        <v>40</v>
      </c>
      <c r="D475" s="7" t="s">
        <v>98</v>
      </c>
      <c r="E475" s="7" t="s">
        <v>29</v>
      </c>
      <c r="F475" s="7" t="s">
        <v>81</v>
      </c>
      <c r="G475" s="7">
        <v>4</v>
      </c>
      <c r="H475" s="9">
        <v>1900</v>
      </c>
      <c r="I475" s="10">
        <v>0.14999999999999999</v>
      </c>
      <c r="J475" s="7" t="s">
        <v>64</v>
      </c>
      <c r="K475" s="7" t="s">
        <v>71</v>
      </c>
      <c r="L475" s="7" t="s">
        <v>74</v>
      </c>
      <c r="M475" s="11">
        <f t="shared" si="34"/>
        <v>6460</v>
      </c>
      <c r="N475" t="str">
        <f t="shared" si="35"/>
        <v>Oct</v>
      </c>
      <c r="O475">
        <f t="shared" si="36"/>
        <v>4</v>
      </c>
      <c r="P475">
        <f>VLOOKUP(F475,Products!A:C,3,FALSE)</f>
        <v>1178</v>
      </c>
      <c r="Q475" s="12">
        <f t="shared" si="37"/>
        <v>1748</v>
      </c>
    </row>
    <row r="476" ht="15">
      <c r="A476" s="7" t="s">
        <v>568</v>
      </c>
      <c r="B476" s="8">
        <v>45943</v>
      </c>
      <c r="C476" s="7" t="s">
        <v>40</v>
      </c>
      <c r="D476" s="7" t="s">
        <v>85</v>
      </c>
      <c r="E476" s="7" t="s">
        <v>19</v>
      </c>
      <c r="F476" s="7" t="s">
        <v>106</v>
      </c>
      <c r="G476" s="7">
        <v>1</v>
      </c>
      <c r="H476" s="9">
        <v>180</v>
      </c>
      <c r="I476" s="10">
        <v>0.14999999999999999</v>
      </c>
      <c r="J476" s="7" t="s">
        <v>93</v>
      </c>
      <c r="K476" s="7" t="s">
        <v>65</v>
      </c>
      <c r="L476" s="7" t="s">
        <v>78</v>
      </c>
      <c r="M476" s="11">
        <f t="shared" si="34"/>
        <v>153</v>
      </c>
      <c r="N476" t="str">
        <f t="shared" si="35"/>
        <v>Oct</v>
      </c>
      <c r="O476">
        <f t="shared" si="36"/>
        <v>4</v>
      </c>
      <c r="P476">
        <f>VLOOKUP(F476,Products!A:C,3,FALSE)</f>
        <v>112</v>
      </c>
      <c r="Q476" s="12">
        <f t="shared" si="37"/>
        <v>41</v>
      </c>
    </row>
    <row r="477" ht="15">
      <c r="A477" s="7" t="s">
        <v>569</v>
      </c>
      <c r="B477" s="8">
        <v>45944</v>
      </c>
      <c r="C477" s="7" t="s">
        <v>36</v>
      </c>
      <c r="D477" s="7" t="s">
        <v>76</v>
      </c>
      <c r="E477" s="7" t="s">
        <v>29</v>
      </c>
      <c r="F477" s="7" t="s">
        <v>21</v>
      </c>
      <c r="G477" s="7">
        <v>1</v>
      </c>
      <c r="H477" s="9">
        <v>3600</v>
      </c>
      <c r="I477" s="10">
        <v>0.10000000000000001</v>
      </c>
      <c r="J477" s="7" t="s">
        <v>64</v>
      </c>
      <c r="K477" s="7" t="s">
        <v>65</v>
      </c>
      <c r="L477" s="7" t="s">
        <v>66</v>
      </c>
      <c r="M477" s="11">
        <f t="shared" si="34"/>
        <v>3240</v>
      </c>
      <c r="N477" t="str">
        <f t="shared" si="35"/>
        <v>Oct</v>
      </c>
      <c r="O477">
        <f t="shared" si="36"/>
        <v>4</v>
      </c>
      <c r="P477">
        <f>VLOOKUP(F477,Products!A:C,3,FALSE)</f>
        <v>2232</v>
      </c>
      <c r="Q477" s="12">
        <f t="shared" si="37"/>
        <v>1008</v>
      </c>
    </row>
    <row r="478" ht="15">
      <c r="A478" s="7" t="s">
        <v>570</v>
      </c>
      <c r="B478" s="8">
        <v>45944</v>
      </c>
      <c r="C478" s="7" t="s">
        <v>18</v>
      </c>
      <c r="D478" s="7" t="s">
        <v>63</v>
      </c>
      <c r="E478" s="7" t="s">
        <v>24</v>
      </c>
      <c r="F478" s="7" t="s">
        <v>96</v>
      </c>
      <c r="G478" s="7">
        <v>2</v>
      </c>
      <c r="H478" s="9">
        <v>1450</v>
      </c>
      <c r="I478" s="10">
        <v>0.14999999999999999</v>
      </c>
      <c r="J478" s="7" t="s">
        <v>89</v>
      </c>
      <c r="K478" s="7" t="s">
        <v>71</v>
      </c>
      <c r="L478" s="7" t="s">
        <v>74</v>
      </c>
      <c r="M478" s="11">
        <f t="shared" si="34"/>
        <v>2465</v>
      </c>
      <c r="N478" t="str">
        <f t="shared" si="35"/>
        <v>Oct</v>
      </c>
      <c r="O478">
        <f t="shared" si="36"/>
        <v>4</v>
      </c>
      <c r="P478">
        <f>VLOOKUP(F478,Products!A:C,3,FALSE)</f>
        <v>899</v>
      </c>
      <c r="Q478" s="12">
        <f t="shared" si="37"/>
        <v>667</v>
      </c>
    </row>
    <row r="479" ht="15">
      <c r="A479" s="7" t="s">
        <v>571</v>
      </c>
      <c r="B479" s="8">
        <v>45945</v>
      </c>
      <c r="C479" s="7" t="s">
        <v>36</v>
      </c>
      <c r="D479" s="7" t="s">
        <v>114</v>
      </c>
      <c r="E479" s="7" t="s">
        <v>29</v>
      </c>
      <c r="F479" s="7" t="s">
        <v>81</v>
      </c>
      <c r="G479" s="7">
        <v>2</v>
      </c>
      <c r="H479" s="9">
        <v>1900</v>
      </c>
      <c r="I479" s="10">
        <v>0</v>
      </c>
      <c r="J479" s="7" t="s">
        <v>64</v>
      </c>
      <c r="K479" s="7" t="s">
        <v>65</v>
      </c>
      <c r="L479" s="7" t="s">
        <v>74</v>
      </c>
      <c r="M479" s="11">
        <f t="shared" si="34"/>
        <v>3800</v>
      </c>
      <c r="N479" t="str">
        <f t="shared" si="35"/>
        <v>Oct</v>
      </c>
      <c r="O479">
        <f t="shared" si="36"/>
        <v>4</v>
      </c>
      <c r="P479">
        <f>VLOOKUP(F479,Products!A:C,3,FALSE)</f>
        <v>1178</v>
      </c>
      <c r="Q479" s="12">
        <f t="shared" si="37"/>
        <v>1444</v>
      </c>
    </row>
    <row r="480" ht="15">
      <c r="A480" s="7" t="s">
        <v>572</v>
      </c>
      <c r="B480" s="8">
        <v>45945</v>
      </c>
      <c r="C480" s="7" t="s">
        <v>36</v>
      </c>
      <c r="D480" s="7" t="s">
        <v>114</v>
      </c>
      <c r="E480" s="7" t="s">
        <v>19</v>
      </c>
      <c r="F480" s="7" t="s">
        <v>77</v>
      </c>
      <c r="G480" s="7">
        <v>1</v>
      </c>
      <c r="H480" s="9">
        <v>520</v>
      </c>
      <c r="I480" s="10">
        <v>0</v>
      </c>
      <c r="J480" s="7" t="s">
        <v>103</v>
      </c>
      <c r="K480" s="7" t="s">
        <v>71</v>
      </c>
      <c r="L480" s="7" t="s">
        <v>90</v>
      </c>
      <c r="M480" s="11">
        <f t="shared" si="34"/>
        <v>520</v>
      </c>
      <c r="N480" t="str">
        <f t="shared" si="35"/>
        <v>Oct</v>
      </c>
      <c r="O480">
        <f t="shared" si="36"/>
        <v>4</v>
      </c>
      <c r="P480">
        <f>VLOOKUP(F480,Products!A:C,3,FALSE)</f>
        <v>322</v>
      </c>
      <c r="Q480" s="12">
        <f t="shared" si="37"/>
        <v>198</v>
      </c>
    </row>
    <row r="481" ht="15">
      <c r="A481" s="7" t="s">
        <v>573</v>
      </c>
      <c r="B481" s="8">
        <v>45946</v>
      </c>
      <c r="C481" s="7" t="s">
        <v>40</v>
      </c>
      <c r="D481" s="7" t="s">
        <v>80</v>
      </c>
      <c r="E481" s="7" t="s">
        <v>34</v>
      </c>
      <c r="F481" s="7" t="s">
        <v>92</v>
      </c>
      <c r="G481" s="7">
        <v>7</v>
      </c>
      <c r="H481" s="9">
        <v>85</v>
      </c>
      <c r="I481" s="10">
        <v>5.0000000000000003e-002</v>
      </c>
      <c r="J481" s="7" t="s">
        <v>93</v>
      </c>
      <c r="K481" s="7" t="s">
        <v>65</v>
      </c>
      <c r="L481" s="7" t="s">
        <v>90</v>
      </c>
      <c r="M481" s="11">
        <f t="shared" si="34"/>
        <v>565.25</v>
      </c>
      <c r="N481" t="str">
        <f t="shared" si="35"/>
        <v>Oct</v>
      </c>
      <c r="O481">
        <f t="shared" si="36"/>
        <v>4</v>
      </c>
      <c r="P481">
        <f>VLOOKUP(F481,Products!A:C,3,FALSE)</f>
        <v>53</v>
      </c>
      <c r="Q481" s="12">
        <f t="shared" si="37"/>
        <v>194.25</v>
      </c>
    </row>
    <row r="482" ht="15">
      <c r="A482" s="7" t="s">
        <v>574</v>
      </c>
      <c r="B482" s="8">
        <v>45946</v>
      </c>
      <c r="C482" s="7" t="s">
        <v>18</v>
      </c>
      <c r="D482" s="7" t="s">
        <v>63</v>
      </c>
      <c r="E482" s="7" t="s">
        <v>34</v>
      </c>
      <c r="F482" s="7" t="s">
        <v>92</v>
      </c>
      <c r="G482" s="7">
        <v>16</v>
      </c>
      <c r="H482" s="9">
        <v>85</v>
      </c>
      <c r="I482" s="10">
        <v>0.10000000000000001</v>
      </c>
      <c r="J482" s="7" t="s">
        <v>93</v>
      </c>
      <c r="K482" s="7" t="s">
        <v>65</v>
      </c>
      <c r="L482" s="7" t="s">
        <v>74</v>
      </c>
      <c r="M482" s="11">
        <f t="shared" si="34"/>
        <v>1224</v>
      </c>
      <c r="N482" t="str">
        <f t="shared" si="35"/>
        <v>Oct</v>
      </c>
      <c r="O482">
        <f t="shared" si="36"/>
        <v>4</v>
      </c>
      <c r="P482">
        <f>VLOOKUP(F482,Products!A:C,3,FALSE)</f>
        <v>53</v>
      </c>
      <c r="Q482" s="12">
        <f t="shared" si="37"/>
        <v>376</v>
      </c>
    </row>
    <row r="483" ht="15">
      <c r="A483" s="7" t="s">
        <v>575</v>
      </c>
      <c r="B483" s="8">
        <v>45947</v>
      </c>
      <c r="C483" s="7" t="s">
        <v>33</v>
      </c>
      <c r="D483" s="7" t="s">
        <v>68</v>
      </c>
      <c r="E483" s="7" t="s">
        <v>24</v>
      </c>
      <c r="F483" s="7" t="s">
        <v>38</v>
      </c>
      <c r="G483" s="7">
        <v>4</v>
      </c>
      <c r="H483" s="9">
        <v>12500</v>
      </c>
      <c r="I483" s="10">
        <v>0.10000000000000001</v>
      </c>
      <c r="J483" s="7" t="s">
        <v>103</v>
      </c>
      <c r="K483" s="7" t="s">
        <v>65</v>
      </c>
      <c r="L483" s="7" t="s">
        <v>90</v>
      </c>
      <c r="M483" s="11">
        <f t="shared" si="34"/>
        <v>45000</v>
      </c>
      <c r="N483" t="str">
        <f t="shared" si="35"/>
        <v>Oct</v>
      </c>
      <c r="O483">
        <f t="shared" si="36"/>
        <v>4</v>
      </c>
      <c r="P483">
        <f>VLOOKUP(F483,Products!A:C,3,FALSE)</f>
        <v>7750</v>
      </c>
      <c r="Q483" s="12">
        <f t="shared" si="37"/>
        <v>14000</v>
      </c>
    </row>
    <row r="484" ht="15">
      <c r="A484" s="7" t="s">
        <v>576</v>
      </c>
      <c r="B484" s="8">
        <v>45947</v>
      </c>
      <c r="C484" s="7" t="s">
        <v>36</v>
      </c>
      <c r="D484" s="7" t="s">
        <v>114</v>
      </c>
      <c r="E484" s="7" t="s">
        <v>19</v>
      </c>
      <c r="F484" s="7" t="s">
        <v>77</v>
      </c>
      <c r="G484" s="7">
        <v>4</v>
      </c>
      <c r="H484" s="9">
        <v>520</v>
      </c>
      <c r="I484" s="10">
        <v>0</v>
      </c>
      <c r="J484" s="7" t="s">
        <v>89</v>
      </c>
      <c r="K484" s="7" t="s">
        <v>65</v>
      </c>
      <c r="L484" s="7" t="s">
        <v>66</v>
      </c>
      <c r="M484" s="11">
        <f t="shared" ref="M484:M547" si="38">G484*H484*(1-I484)</f>
        <v>2080</v>
      </c>
      <c r="N484" t="str">
        <f t="shared" ref="N484:N547" si="39">TEXT(B484,"mmm")</f>
        <v>Oct</v>
      </c>
      <c r="O484">
        <f t="shared" ref="O484:O547" si="40">ROUNDUP(MONTH(B484)/3,0)</f>
        <v>4</v>
      </c>
      <c r="P484">
        <f>VLOOKUP(F484,Products!A:C,3,FALSE)</f>
        <v>322</v>
      </c>
      <c r="Q484" s="12">
        <f t="shared" ref="Q484:Q547" si="41">M484-(G484*P484)</f>
        <v>792</v>
      </c>
    </row>
    <row r="485" ht="15">
      <c r="A485" s="7" t="s">
        <v>577</v>
      </c>
      <c r="B485" s="8">
        <v>45947</v>
      </c>
      <c r="C485" s="7" t="s">
        <v>40</v>
      </c>
      <c r="D485" s="7" t="s">
        <v>80</v>
      </c>
      <c r="E485" s="7" t="s">
        <v>19</v>
      </c>
      <c r="F485" s="7" t="s">
        <v>73</v>
      </c>
      <c r="G485" s="7">
        <v>2</v>
      </c>
      <c r="H485" s="9">
        <v>650</v>
      </c>
      <c r="I485" s="10">
        <v>5.0000000000000003e-002</v>
      </c>
      <c r="J485" s="7" t="s">
        <v>83</v>
      </c>
      <c r="K485" s="7" t="s">
        <v>65</v>
      </c>
      <c r="L485" s="7" t="s">
        <v>66</v>
      </c>
      <c r="M485" s="11">
        <f t="shared" si="38"/>
        <v>1235</v>
      </c>
      <c r="N485" t="str">
        <f t="shared" si="39"/>
        <v>Oct</v>
      </c>
      <c r="O485">
        <f t="shared" si="40"/>
        <v>4</v>
      </c>
      <c r="P485">
        <f>VLOOKUP(F485,Products!A:C,3,FALSE)</f>
        <v>403</v>
      </c>
      <c r="Q485" s="12">
        <f t="shared" si="41"/>
        <v>429</v>
      </c>
    </row>
    <row r="486" ht="15">
      <c r="A486" s="7" t="s">
        <v>578</v>
      </c>
      <c r="B486" s="8">
        <v>45947</v>
      </c>
      <c r="C486" s="7" t="s">
        <v>18</v>
      </c>
      <c r="D486" s="7" t="s">
        <v>63</v>
      </c>
      <c r="E486" s="7" t="s">
        <v>34</v>
      </c>
      <c r="F486" s="7" t="s">
        <v>92</v>
      </c>
      <c r="G486" s="7">
        <v>40</v>
      </c>
      <c r="H486" s="9">
        <v>85</v>
      </c>
      <c r="I486" s="10">
        <v>0</v>
      </c>
      <c r="J486" s="7" t="s">
        <v>64</v>
      </c>
      <c r="K486" s="7" t="s">
        <v>65</v>
      </c>
      <c r="L486" s="7" t="s">
        <v>66</v>
      </c>
      <c r="M486" s="11">
        <f t="shared" si="38"/>
        <v>3400</v>
      </c>
      <c r="N486" t="str">
        <f t="shared" si="39"/>
        <v>Oct</v>
      </c>
      <c r="O486">
        <f t="shared" si="40"/>
        <v>4</v>
      </c>
      <c r="P486">
        <f>VLOOKUP(F486,Products!A:C,3,FALSE)</f>
        <v>53</v>
      </c>
      <c r="Q486" s="12">
        <f t="shared" si="41"/>
        <v>1280</v>
      </c>
    </row>
    <row r="487" ht="15">
      <c r="A487" s="7" t="s">
        <v>579</v>
      </c>
      <c r="B487" s="8">
        <v>45948</v>
      </c>
      <c r="C487" s="7" t="s">
        <v>40</v>
      </c>
      <c r="D487" s="7" t="s">
        <v>85</v>
      </c>
      <c r="E487" s="7" t="s">
        <v>29</v>
      </c>
      <c r="F487" s="7" t="s">
        <v>120</v>
      </c>
      <c r="G487" s="7">
        <v>2</v>
      </c>
      <c r="H487" s="9">
        <v>2300</v>
      </c>
      <c r="I487" s="10">
        <v>5.0000000000000003e-002</v>
      </c>
      <c r="J487" s="7" t="s">
        <v>89</v>
      </c>
      <c r="K487" s="7" t="s">
        <v>71</v>
      </c>
      <c r="L487" s="7" t="s">
        <v>66</v>
      </c>
      <c r="M487" s="11">
        <f t="shared" si="38"/>
        <v>4370</v>
      </c>
      <c r="N487" t="str">
        <f t="shared" si="39"/>
        <v>Oct</v>
      </c>
      <c r="O487">
        <f t="shared" si="40"/>
        <v>4</v>
      </c>
      <c r="P487">
        <f>VLOOKUP(F487,Products!A:C,3,FALSE)</f>
        <v>1426</v>
      </c>
      <c r="Q487" s="12">
        <f t="shared" si="41"/>
        <v>1518</v>
      </c>
    </row>
    <row r="488" ht="15">
      <c r="A488" s="7" t="s">
        <v>580</v>
      </c>
      <c r="B488" s="8">
        <v>45949</v>
      </c>
      <c r="C488" s="7" t="s">
        <v>33</v>
      </c>
      <c r="D488" s="7" t="s">
        <v>68</v>
      </c>
      <c r="E488" s="7" t="s">
        <v>19</v>
      </c>
      <c r="F488" s="7" t="s">
        <v>77</v>
      </c>
      <c r="G488" s="7">
        <v>2</v>
      </c>
      <c r="H488" s="9">
        <v>520</v>
      </c>
      <c r="I488" s="10">
        <v>0.10000000000000001</v>
      </c>
      <c r="J488" s="7" t="s">
        <v>64</v>
      </c>
      <c r="K488" s="7" t="s">
        <v>71</v>
      </c>
      <c r="L488" s="7" t="s">
        <v>74</v>
      </c>
      <c r="M488" s="11">
        <f t="shared" si="38"/>
        <v>936</v>
      </c>
      <c r="N488" t="str">
        <f t="shared" si="39"/>
        <v>Oct</v>
      </c>
      <c r="O488">
        <f t="shared" si="40"/>
        <v>4</v>
      </c>
      <c r="P488">
        <f>VLOOKUP(F488,Products!A:C,3,FALSE)</f>
        <v>322</v>
      </c>
      <c r="Q488" s="12">
        <f t="shared" si="41"/>
        <v>292</v>
      </c>
    </row>
    <row r="489" ht="15">
      <c r="A489" s="7" t="s">
        <v>581</v>
      </c>
      <c r="B489" s="8">
        <v>45949</v>
      </c>
      <c r="C489" s="7" t="s">
        <v>40</v>
      </c>
      <c r="D489" s="7" t="s">
        <v>85</v>
      </c>
      <c r="E489" s="7" t="s">
        <v>19</v>
      </c>
      <c r="F489" s="7" t="s">
        <v>77</v>
      </c>
      <c r="G489" s="7">
        <v>2</v>
      </c>
      <c r="H489" s="9">
        <v>520</v>
      </c>
      <c r="I489" s="10">
        <v>0.10000000000000001</v>
      </c>
      <c r="J489" s="7" t="s">
        <v>70</v>
      </c>
      <c r="K489" s="7" t="s">
        <v>71</v>
      </c>
      <c r="L489" s="7" t="s">
        <v>74</v>
      </c>
      <c r="M489" s="11">
        <f t="shared" si="38"/>
        <v>936</v>
      </c>
      <c r="N489" t="str">
        <f t="shared" si="39"/>
        <v>Oct</v>
      </c>
      <c r="O489">
        <f t="shared" si="40"/>
        <v>4</v>
      </c>
      <c r="P489">
        <f>VLOOKUP(F489,Products!A:C,3,FALSE)</f>
        <v>322</v>
      </c>
      <c r="Q489" s="12">
        <f t="shared" si="41"/>
        <v>292</v>
      </c>
    </row>
    <row r="490" ht="15">
      <c r="A490" s="7" t="s">
        <v>582</v>
      </c>
      <c r="B490" s="8">
        <v>45950</v>
      </c>
      <c r="C490" s="7" t="s">
        <v>23</v>
      </c>
      <c r="D490" s="7" t="s">
        <v>95</v>
      </c>
      <c r="E490" s="7" t="s">
        <v>24</v>
      </c>
      <c r="F490" s="7" t="s">
        <v>31</v>
      </c>
      <c r="G490" s="7">
        <v>4</v>
      </c>
      <c r="H490" s="9">
        <v>5400</v>
      </c>
      <c r="I490" s="10">
        <v>0</v>
      </c>
      <c r="J490" s="7" t="s">
        <v>64</v>
      </c>
      <c r="K490" s="7" t="s">
        <v>65</v>
      </c>
      <c r="L490" s="7" t="s">
        <v>74</v>
      </c>
      <c r="M490" s="11">
        <f t="shared" si="38"/>
        <v>21600</v>
      </c>
      <c r="N490" t="str">
        <f t="shared" si="39"/>
        <v>Oct</v>
      </c>
      <c r="O490">
        <f t="shared" si="40"/>
        <v>4</v>
      </c>
      <c r="P490">
        <f>VLOOKUP(F490,Products!A:C,3,FALSE)</f>
        <v>3348</v>
      </c>
      <c r="Q490" s="12">
        <f t="shared" si="41"/>
        <v>8208</v>
      </c>
    </row>
    <row r="491" ht="15">
      <c r="A491" s="7" t="s">
        <v>583</v>
      </c>
      <c r="B491" s="8">
        <v>45952</v>
      </c>
      <c r="C491" s="7" t="s">
        <v>36</v>
      </c>
      <c r="D491" s="7" t="s">
        <v>76</v>
      </c>
      <c r="E491" s="7" t="s">
        <v>19</v>
      </c>
      <c r="F491" s="7" t="s">
        <v>77</v>
      </c>
      <c r="G491" s="7">
        <v>4</v>
      </c>
      <c r="H491" s="9">
        <v>520</v>
      </c>
      <c r="I491" s="10">
        <v>0</v>
      </c>
      <c r="J491" s="7" t="s">
        <v>93</v>
      </c>
      <c r="K491" s="7" t="s">
        <v>65</v>
      </c>
      <c r="L491" s="7" t="s">
        <v>78</v>
      </c>
      <c r="M491" s="11">
        <f t="shared" si="38"/>
        <v>2080</v>
      </c>
      <c r="N491" t="str">
        <f t="shared" si="39"/>
        <v>Oct</v>
      </c>
      <c r="O491">
        <f t="shared" si="40"/>
        <v>4</v>
      </c>
      <c r="P491">
        <f>VLOOKUP(F491,Products!A:C,3,FALSE)</f>
        <v>322</v>
      </c>
      <c r="Q491" s="12">
        <f t="shared" si="41"/>
        <v>792</v>
      </c>
    </row>
    <row r="492" ht="15">
      <c r="A492" s="7" t="s">
        <v>584</v>
      </c>
      <c r="B492" s="8">
        <v>45952</v>
      </c>
      <c r="C492" s="7" t="s">
        <v>40</v>
      </c>
      <c r="D492" s="7" t="s">
        <v>98</v>
      </c>
      <c r="E492" s="7" t="s">
        <v>29</v>
      </c>
      <c r="F492" s="7" t="s">
        <v>21</v>
      </c>
      <c r="G492" s="7">
        <v>1</v>
      </c>
      <c r="H492" s="9">
        <v>3600</v>
      </c>
      <c r="I492" s="10">
        <v>0</v>
      </c>
      <c r="J492" s="7" t="s">
        <v>93</v>
      </c>
      <c r="K492" s="7" t="s">
        <v>65</v>
      </c>
      <c r="L492" s="7" t="s">
        <v>78</v>
      </c>
      <c r="M492" s="11">
        <f t="shared" si="38"/>
        <v>3600</v>
      </c>
      <c r="N492" t="str">
        <f t="shared" si="39"/>
        <v>Oct</v>
      </c>
      <c r="O492">
        <f t="shared" si="40"/>
        <v>4</v>
      </c>
      <c r="P492">
        <f>VLOOKUP(F492,Products!A:C,3,FALSE)</f>
        <v>2232</v>
      </c>
      <c r="Q492" s="12">
        <f t="shared" si="41"/>
        <v>1368</v>
      </c>
    </row>
    <row r="493" ht="15">
      <c r="A493" s="7" t="s">
        <v>585</v>
      </c>
      <c r="B493" s="8">
        <v>45952</v>
      </c>
      <c r="C493" s="7" t="s">
        <v>36</v>
      </c>
      <c r="D493" s="7" t="s">
        <v>76</v>
      </c>
      <c r="E493" s="7" t="s">
        <v>29</v>
      </c>
      <c r="F493" s="7" t="s">
        <v>81</v>
      </c>
      <c r="G493" s="7">
        <v>3</v>
      </c>
      <c r="H493" s="9">
        <v>1900</v>
      </c>
      <c r="I493" s="10">
        <v>0</v>
      </c>
      <c r="J493" s="7" t="s">
        <v>83</v>
      </c>
      <c r="K493" s="7" t="s">
        <v>65</v>
      </c>
      <c r="L493" s="7" t="s">
        <v>66</v>
      </c>
      <c r="M493" s="11">
        <f t="shared" si="38"/>
        <v>5700</v>
      </c>
      <c r="N493" t="str">
        <f t="shared" si="39"/>
        <v>Oct</v>
      </c>
      <c r="O493">
        <f t="shared" si="40"/>
        <v>4</v>
      </c>
      <c r="P493">
        <f>VLOOKUP(F493,Products!A:C,3,FALSE)</f>
        <v>1178</v>
      </c>
      <c r="Q493" s="12">
        <f t="shared" si="41"/>
        <v>2166</v>
      </c>
    </row>
    <row r="494" ht="15">
      <c r="A494" s="7" t="s">
        <v>586</v>
      </c>
      <c r="B494" s="8">
        <v>45952</v>
      </c>
      <c r="C494" s="7" t="s">
        <v>40</v>
      </c>
      <c r="D494" s="7" t="s">
        <v>98</v>
      </c>
      <c r="E494" s="7" t="s">
        <v>29</v>
      </c>
      <c r="F494" s="7" t="s">
        <v>120</v>
      </c>
      <c r="G494" s="7">
        <v>3</v>
      </c>
      <c r="H494" s="9">
        <v>2300</v>
      </c>
      <c r="I494" s="10">
        <v>0.14999999999999999</v>
      </c>
      <c r="J494" s="7" t="s">
        <v>83</v>
      </c>
      <c r="K494" s="7" t="s">
        <v>65</v>
      </c>
      <c r="L494" s="7" t="s">
        <v>74</v>
      </c>
      <c r="M494" s="11">
        <f t="shared" si="38"/>
        <v>5865</v>
      </c>
      <c r="N494" t="str">
        <f t="shared" si="39"/>
        <v>Oct</v>
      </c>
      <c r="O494">
        <f t="shared" si="40"/>
        <v>4</v>
      </c>
      <c r="P494">
        <f>VLOOKUP(F494,Products!A:C,3,FALSE)</f>
        <v>1426</v>
      </c>
      <c r="Q494" s="12">
        <f t="shared" si="41"/>
        <v>1587</v>
      </c>
    </row>
    <row r="495" ht="15">
      <c r="A495" s="7" t="s">
        <v>587</v>
      </c>
      <c r="B495" s="8">
        <v>45953</v>
      </c>
      <c r="C495" s="7" t="s">
        <v>40</v>
      </c>
      <c r="D495" s="7" t="s">
        <v>85</v>
      </c>
      <c r="E495" s="7" t="s">
        <v>19</v>
      </c>
      <c r="F495" s="7" t="s">
        <v>106</v>
      </c>
      <c r="G495" s="7">
        <v>4</v>
      </c>
      <c r="H495" s="9">
        <v>180</v>
      </c>
      <c r="I495" s="10">
        <v>0.14999999999999999</v>
      </c>
      <c r="J495" s="7" t="s">
        <v>70</v>
      </c>
      <c r="K495" s="7" t="s">
        <v>71</v>
      </c>
      <c r="L495" s="7" t="s">
        <v>90</v>
      </c>
      <c r="M495" s="11">
        <f t="shared" si="38"/>
        <v>612</v>
      </c>
      <c r="N495" t="str">
        <f t="shared" si="39"/>
        <v>Oct</v>
      </c>
      <c r="O495">
        <f t="shared" si="40"/>
        <v>4</v>
      </c>
      <c r="P495">
        <f>VLOOKUP(F495,Products!A:C,3,FALSE)</f>
        <v>112</v>
      </c>
      <c r="Q495" s="12">
        <f t="shared" si="41"/>
        <v>164</v>
      </c>
    </row>
    <row r="496" ht="15">
      <c r="A496" s="7" t="s">
        <v>588</v>
      </c>
      <c r="B496" s="8">
        <v>45954</v>
      </c>
      <c r="C496" s="7" t="s">
        <v>40</v>
      </c>
      <c r="D496" s="7" t="s">
        <v>80</v>
      </c>
      <c r="E496" s="7" t="s">
        <v>34</v>
      </c>
      <c r="F496" s="7" t="s">
        <v>92</v>
      </c>
      <c r="G496" s="7">
        <v>14</v>
      </c>
      <c r="H496" s="9">
        <v>85</v>
      </c>
      <c r="I496" s="10">
        <v>0</v>
      </c>
      <c r="J496" s="7" t="s">
        <v>89</v>
      </c>
      <c r="K496" s="7" t="s">
        <v>71</v>
      </c>
      <c r="L496" s="7" t="s">
        <v>66</v>
      </c>
      <c r="M496" s="11">
        <f t="shared" si="38"/>
        <v>1190</v>
      </c>
      <c r="N496" t="str">
        <f t="shared" si="39"/>
        <v>Oct</v>
      </c>
      <c r="O496">
        <f t="shared" si="40"/>
        <v>4</v>
      </c>
      <c r="P496">
        <f>VLOOKUP(F496,Products!A:C,3,FALSE)</f>
        <v>53</v>
      </c>
      <c r="Q496" s="12">
        <f t="shared" si="41"/>
        <v>448</v>
      </c>
    </row>
    <row r="497" ht="15">
      <c r="A497" s="7" t="s">
        <v>589</v>
      </c>
      <c r="B497" s="8">
        <v>45954</v>
      </c>
      <c r="C497" s="7" t="s">
        <v>36</v>
      </c>
      <c r="D497" s="7" t="s">
        <v>76</v>
      </c>
      <c r="E497" s="7" t="s">
        <v>29</v>
      </c>
      <c r="F497" s="7" t="s">
        <v>21</v>
      </c>
      <c r="G497" s="7">
        <v>1</v>
      </c>
      <c r="H497" s="9">
        <v>3600</v>
      </c>
      <c r="I497" s="10">
        <v>0</v>
      </c>
      <c r="J497" s="7" t="s">
        <v>64</v>
      </c>
      <c r="K497" s="7" t="s">
        <v>65</v>
      </c>
      <c r="L497" s="7" t="s">
        <v>66</v>
      </c>
      <c r="M497" s="11">
        <f t="shared" si="38"/>
        <v>3600</v>
      </c>
      <c r="N497" t="str">
        <f t="shared" si="39"/>
        <v>Oct</v>
      </c>
      <c r="O497">
        <f t="shared" si="40"/>
        <v>4</v>
      </c>
      <c r="P497">
        <f>VLOOKUP(F497,Products!A:C,3,FALSE)</f>
        <v>2232</v>
      </c>
      <c r="Q497" s="12">
        <f t="shared" si="41"/>
        <v>1368</v>
      </c>
    </row>
    <row r="498" ht="15">
      <c r="A498" s="7" t="s">
        <v>590</v>
      </c>
      <c r="B498" s="8">
        <v>45955</v>
      </c>
      <c r="C498" s="7" t="s">
        <v>36</v>
      </c>
      <c r="D498" s="7" t="s">
        <v>76</v>
      </c>
      <c r="E498" s="7" t="s">
        <v>29</v>
      </c>
      <c r="F498" s="7" t="s">
        <v>120</v>
      </c>
      <c r="G498" s="7">
        <v>4</v>
      </c>
      <c r="H498" s="9">
        <v>2300</v>
      </c>
      <c r="I498" s="10">
        <v>0</v>
      </c>
      <c r="J498" s="7" t="s">
        <v>70</v>
      </c>
      <c r="K498" s="7" t="s">
        <v>71</v>
      </c>
      <c r="L498" s="7" t="s">
        <v>66</v>
      </c>
      <c r="M498" s="11">
        <f t="shared" si="38"/>
        <v>9200</v>
      </c>
      <c r="N498" t="str">
        <f t="shared" si="39"/>
        <v>Oct</v>
      </c>
      <c r="O498">
        <f t="shared" si="40"/>
        <v>4</v>
      </c>
      <c r="P498">
        <f>VLOOKUP(F498,Products!A:C,3,FALSE)</f>
        <v>1426</v>
      </c>
      <c r="Q498" s="12">
        <f t="shared" si="41"/>
        <v>3496</v>
      </c>
    </row>
    <row r="499" ht="15">
      <c r="A499" s="7" t="s">
        <v>591</v>
      </c>
      <c r="B499" s="8">
        <v>45956</v>
      </c>
      <c r="C499" s="7" t="s">
        <v>33</v>
      </c>
      <c r="D499" s="7" t="s">
        <v>68</v>
      </c>
      <c r="E499" s="7" t="s">
        <v>19</v>
      </c>
      <c r="F499" s="7" t="s">
        <v>73</v>
      </c>
      <c r="G499" s="7">
        <v>4</v>
      </c>
      <c r="H499" s="9">
        <v>650</v>
      </c>
      <c r="I499" s="10">
        <v>0</v>
      </c>
      <c r="J499" s="7" t="s">
        <v>64</v>
      </c>
      <c r="K499" s="7" t="s">
        <v>71</v>
      </c>
      <c r="L499" s="7" t="s">
        <v>74</v>
      </c>
      <c r="M499" s="11">
        <f t="shared" si="38"/>
        <v>2600</v>
      </c>
      <c r="N499" t="str">
        <f t="shared" si="39"/>
        <v>Oct</v>
      </c>
      <c r="O499">
        <f t="shared" si="40"/>
        <v>4</v>
      </c>
      <c r="P499">
        <f>VLOOKUP(F499,Products!A:C,3,FALSE)</f>
        <v>403</v>
      </c>
      <c r="Q499" s="12">
        <f t="shared" si="41"/>
        <v>988</v>
      </c>
    </row>
    <row r="500" ht="15">
      <c r="A500" s="7" t="s">
        <v>592</v>
      </c>
      <c r="B500" s="8">
        <v>45956</v>
      </c>
      <c r="C500" s="7" t="s">
        <v>40</v>
      </c>
      <c r="D500" s="7" t="s">
        <v>85</v>
      </c>
      <c r="E500" s="7" t="s">
        <v>19</v>
      </c>
      <c r="F500" s="7" t="s">
        <v>73</v>
      </c>
      <c r="G500" s="7">
        <v>1</v>
      </c>
      <c r="H500" s="9">
        <v>650</v>
      </c>
      <c r="I500" s="10">
        <v>0</v>
      </c>
      <c r="J500" s="7" t="s">
        <v>64</v>
      </c>
      <c r="K500" s="7" t="s">
        <v>65</v>
      </c>
      <c r="L500" s="7" t="s">
        <v>78</v>
      </c>
      <c r="M500" s="11">
        <f t="shared" si="38"/>
        <v>650</v>
      </c>
      <c r="N500" t="str">
        <f t="shared" si="39"/>
        <v>Oct</v>
      </c>
      <c r="O500">
        <f t="shared" si="40"/>
        <v>4</v>
      </c>
      <c r="P500">
        <f>VLOOKUP(F500,Products!A:C,3,FALSE)</f>
        <v>403</v>
      </c>
      <c r="Q500" s="12">
        <f t="shared" si="41"/>
        <v>247</v>
      </c>
    </row>
    <row r="501" ht="15">
      <c r="A501" s="7" t="s">
        <v>593</v>
      </c>
      <c r="B501" s="8">
        <v>45957</v>
      </c>
      <c r="C501" s="7" t="s">
        <v>28</v>
      </c>
      <c r="D501" s="7" t="s">
        <v>112</v>
      </c>
      <c r="E501" s="7" t="s">
        <v>24</v>
      </c>
      <c r="F501" s="7" t="s">
        <v>35</v>
      </c>
      <c r="G501" s="7">
        <v>1</v>
      </c>
      <c r="H501" s="9">
        <v>8200</v>
      </c>
      <c r="I501" s="10">
        <v>0</v>
      </c>
      <c r="J501" s="7" t="s">
        <v>70</v>
      </c>
      <c r="K501" s="7" t="s">
        <v>65</v>
      </c>
      <c r="L501" s="7" t="s">
        <v>78</v>
      </c>
      <c r="M501" s="11">
        <f t="shared" si="38"/>
        <v>8200</v>
      </c>
      <c r="N501" t="str">
        <f t="shared" si="39"/>
        <v>Oct</v>
      </c>
      <c r="O501">
        <f t="shared" si="40"/>
        <v>4</v>
      </c>
      <c r="P501">
        <f>VLOOKUP(F501,Products!A:C,3,FALSE)</f>
        <v>5084</v>
      </c>
      <c r="Q501" s="12">
        <f t="shared" si="41"/>
        <v>3116</v>
      </c>
    </row>
    <row r="502" ht="15">
      <c r="A502" s="7" t="s">
        <v>594</v>
      </c>
      <c r="B502" s="8">
        <v>45957</v>
      </c>
      <c r="C502" s="7" t="s">
        <v>40</v>
      </c>
      <c r="D502" s="7" t="s">
        <v>98</v>
      </c>
      <c r="E502" s="7" t="s">
        <v>24</v>
      </c>
      <c r="F502" s="7" t="s">
        <v>35</v>
      </c>
      <c r="G502" s="7">
        <v>1</v>
      </c>
      <c r="H502" s="9">
        <v>8200</v>
      </c>
      <c r="I502" s="10">
        <v>0.14999999999999999</v>
      </c>
      <c r="J502" s="7" t="s">
        <v>70</v>
      </c>
      <c r="K502" s="7" t="s">
        <v>65</v>
      </c>
      <c r="L502" s="7" t="s">
        <v>74</v>
      </c>
      <c r="M502" s="11">
        <f t="shared" si="38"/>
        <v>6970</v>
      </c>
      <c r="N502" t="str">
        <f t="shared" si="39"/>
        <v>Oct</v>
      </c>
      <c r="O502">
        <f t="shared" si="40"/>
        <v>4</v>
      </c>
      <c r="P502">
        <f>VLOOKUP(F502,Products!A:C,3,FALSE)</f>
        <v>5084</v>
      </c>
      <c r="Q502" s="12">
        <f t="shared" si="41"/>
        <v>1886</v>
      </c>
    </row>
    <row r="503" ht="15">
      <c r="A503" s="7" t="s">
        <v>595</v>
      </c>
      <c r="B503" s="8">
        <v>45957</v>
      </c>
      <c r="C503" s="7" t="s">
        <v>40</v>
      </c>
      <c r="D503" s="7" t="s">
        <v>80</v>
      </c>
      <c r="E503" s="7" t="s">
        <v>19</v>
      </c>
      <c r="F503" s="7" t="s">
        <v>73</v>
      </c>
      <c r="G503" s="7">
        <v>2</v>
      </c>
      <c r="H503" s="9">
        <v>650</v>
      </c>
      <c r="I503" s="10">
        <v>0</v>
      </c>
      <c r="J503" s="7" t="s">
        <v>83</v>
      </c>
      <c r="K503" s="7" t="s">
        <v>71</v>
      </c>
      <c r="L503" s="7" t="s">
        <v>78</v>
      </c>
      <c r="M503" s="11">
        <f t="shared" si="38"/>
        <v>1300</v>
      </c>
      <c r="N503" t="str">
        <f t="shared" si="39"/>
        <v>Oct</v>
      </c>
      <c r="O503">
        <f t="shared" si="40"/>
        <v>4</v>
      </c>
      <c r="P503">
        <f>VLOOKUP(F503,Products!A:C,3,FALSE)</f>
        <v>403</v>
      </c>
      <c r="Q503" s="12">
        <f t="shared" si="41"/>
        <v>494</v>
      </c>
    </row>
    <row r="504" ht="15">
      <c r="A504" s="7" t="s">
        <v>596</v>
      </c>
      <c r="B504" s="8">
        <v>45958</v>
      </c>
      <c r="C504" s="7" t="s">
        <v>36</v>
      </c>
      <c r="D504" s="7" t="s">
        <v>76</v>
      </c>
      <c r="E504" s="7" t="s">
        <v>24</v>
      </c>
      <c r="F504" s="7" t="s">
        <v>38</v>
      </c>
      <c r="G504" s="7">
        <v>4</v>
      </c>
      <c r="H504" s="9">
        <v>12500</v>
      </c>
      <c r="I504" s="10">
        <v>5.0000000000000003e-002</v>
      </c>
      <c r="J504" s="7" t="s">
        <v>83</v>
      </c>
      <c r="K504" s="7" t="s">
        <v>71</v>
      </c>
      <c r="L504" s="7" t="s">
        <v>90</v>
      </c>
      <c r="M504" s="11">
        <f t="shared" si="38"/>
        <v>47500</v>
      </c>
      <c r="N504" t="str">
        <f t="shared" si="39"/>
        <v>Oct</v>
      </c>
      <c r="O504">
        <f t="shared" si="40"/>
        <v>4</v>
      </c>
      <c r="P504">
        <f>VLOOKUP(F504,Products!A:C,3,FALSE)</f>
        <v>7750</v>
      </c>
      <c r="Q504" s="12">
        <f t="shared" si="41"/>
        <v>16500</v>
      </c>
    </row>
    <row r="505" ht="15">
      <c r="A505" s="7" t="s">
        <v>597</v>
      </c>
      <c r="B505" s="8">
        <v>45959</v>
      </c>
      <c r="C505" s="7" t="s">
        <v>28</v>
      </c>
      <c r="D505" s="7" t="s">
        <v>112</v>
      </c>
      <c r="E505" s="7" t="s">
        <v>24</v>
      </c>
      <c r="F505" s="7" t="s">
        <v>31</v>
      </c>
      <c r="G505" s="7">
        <v>4</v>
      </c>
      <c r="H505" s="9">
        <v>5400</v>
      </c>
      <c r="I505" s="10">
        <v>0.14999999999999999</v>
      </c>
      <c r="J505" s="7" t="s">
        <v>89</v>
      </c>
      <c r="K505" s="7" t="s">
        <v>65</v>
      </c>
      <c r="L505" s="7" t="s">
        <v>90</v>
      </c>
      <c r="M505" s="11">
        <f t="shared" si="38"/>
        <v>18360</v>
      </c>
      <c r="N505" t="str">
        <f t="shared" si="39"/>
        <v>Oct</v>
      </c>
      <c r="O505">
        <f t="shared" si="40"/>
        <v>4</v>
      </c>
      <c r="P505">
        <f>VLOOKUP(F505,Products!A:C,3,FALSE)</f>
        <v>3348</v>
      </c>
      <c r="Q505" s="12">
        <f t="shared" si="41"/>
        <v>4968</v>
      </c>
    </row>
    <row r="506" ht="15">
      <c r="A506" s="7" t="s">
        <v>598</v>
      </c>
      <c r="B506" s="8">
        <v>45959</v>
      </c>
      <c r="C506" s="7" t="s">
        <v>36</v>
      </c>
      <c r="D506" s="7" t="s">
        <v>76</v>
      </c>
      <c r="E506" s="7" t="s">
        <v>34</v>
      </c>
      <c r="F506" s="7" t="s">
        <v>69</v>
      </c>
      <c r="G506" s="7">
        <v>27</v>
      </c>
      <c r="H506" s="9">
        <v>120</v>
      </c>
      <c r="I506" s="10">
        <v>5.0000000000000003e-002</v>
      </c>
      <c r="J506" s="7" t="s">
        <v>83</v>
      </c>
      <c r="K506" s="7" t="s">
        <v>65</v>
      </c>
      <c r="L506" s="7" t="s">
        <v>78</v>
      </c>
      <c r="M506" s="11">
        <f t="shared" si="38"/>
        <v>3078</v>
      </c>
      <c r="N506" t="str">
        <f t="shared" si="39"/>
        <v>Oct</v>
      </c>
      <c r="O506">
        <f t="shared" si="40"/>
        <v>4</v>
      </c>
      <c r="P506">
        <f>VLOOKUP(F506,Products!A:C,3,FALSE)</f>
        <v>74</v>
      </c>
      <c r="Q506" s="12">
        <f t="shared" si="41"/>
        <v>1080</v>
      </c>
    </row>
    <row r="507" ht="15">
      <c r="A507" s="7" t="s">
        <v>599</v>
      </c>
      <c r="B507" s="8">
        <v>45959</v>
      </c>
      <c r="C507" s="7" t="s">
        <v>40</v>
      </c>
      <c r="D507" s="7" t="s">
        <v>85</v>
      </c>
      <c r="E507" s="7" t="s">
        <v>29</v>
      </c>
      <c r="F507" s="7" t="s">
        <v>81</v>
      </c>
      <c r="G507" s="7">
        <v>3</v>
      </c>
      <c r="H507" s="9">
        <v>1900</v>
      </c>
      <c r="I507" s="10">
        <v>0</v>
      </c>
      <c r="J507" s="7" t="s">
        <v>93</v>
      </c>
      <c r="K507" s="7" t="s">
        <v>65</v>
      </c>
      <c r="L507" s="7" t="s">
        <v>74</v>
      </c>
      <c r="M507" s="11">
        <f t="shared" si="38"/>
        <v>5700</v>
      </c>
      <c r="N507" t="str">
        <f t="shared" si="39"/>
        <v>Oct</v>
      </c>
      <c r="O507">
        <f t="shared" si="40"/>
        <v>4</v>
      </c>
      <c r="P507">
        <f>VLOOKUP(F507,Products!A:C,3,FALSE)</f>
        <v>1178</v>
      </c>
      <c r="Q507" s="12">
        <f t="shared" si="41"/>
        <v>2166</v>
      </c>
    </row>
    <row r="508" ht="15">
      <c r="A508" s="7" t="s">
        <v>600</v>
      </c>
      <c r="B508" s="8">
        <v>45960</v>
      </c>
      <c r="C508" s="7" t="s">
        <v>40</v>
      </c>
      <c r="D508" s="7" t="s">
        <v>80</v>
      </c>
      <c r="E508" s="7" t="s">
        <v>29</v>
      </c>
      <c r="F508" s="7" t="s">
        <v>120</v>
      </c>
      <c r="G508" s="7">
        <v>1</v>
      </c>
      <c r="H508" s="9">
        <v>2300</v>
      </c>
      <c r="I508" s="10">
        <v>0.14999999999999999</v>
      </c>
      <c r="J508" s="7" t="s">
        <v>70</v>
      </c>
      <c r="K508" s="7" t="s">
        <v>71</v>
      </c>
      <c r="L508" s="7" t="s">
        <v>90</v>
      </c>
      <c r="M508" s="11">
        <f t="shared" si="38"/>
        <v>1955</v>
      </c>
      <c r="N508" t="str">
        <f t="shared" si="39"/>
        <v>Oct</v>
      </c>
      <c r="O508">
        <f t="shared" si="40"/>
        <v>4</v>
      </c>
      <c r="P508">
        <f>VLOOKUP(F508,Products!A:C,3,FALSE)</f>
        <v>1426</v>
      </c>
      <c r="Q508" s="12">
        <f t="shared" si="41"/>
        <v>529</v>
      </c>
    </row>
    <row r="509" ht="15">
      <c r="A509" s="7" t="s">
        <v>601</v>
      </c>
      <c r="B509" s="8">
        <v>45961</v>
      </c>
      <c r="C509" s="7" t="s">
        <v>40</v>
      </c>
      <c r="D509" s="7" t="s">
        <v>85</v>
      </c>
      <c r="E509" s="7" t="s">
        <v>24</v>
      </c>
      <c r="F509" s="7" t="s">
        <v>26</v>
      </c>
      <c r="G509" s="7">
        <v>3</v>
      </c>
      <c r="H509" s="9">
        <v>3100</v>
      </c>
      <c r="I509" s="10">
        <v>0.10000000000000001</v>
      </c>
      <c r="J509" s="7" t="s">
        <v>64</v>
      </c>
      <c r="K509" s="7" t="s">
        <v>71</v>
      </c>
      <c r="L509" s="7" t="s">
        <v>66</v>
      </c>
      <c r="M509" s="11">
        <f t="shared" si="38"/>
        <v>8370</v>
      </c>
      <c r="N509" t="str">
        <f t="shared" si="39"/>
        <v>Oct</v>
      </c>
      <c r="O509">
        <f t="shared" si="40"/>
        <v>4</v>
      </c>
      <c r="P509">
        <f>VLOOKUP(F509,Products!A:C,3,FALSE)</f>
        <v>1922</v>
      </c>
      <c r="Q509" s="12">
        <f t="shared" si="41"/>
        <v>2604</v>
      </c>
    </row>
    <row r="510" ht="15">
      <c r="A510" s="7" t="s">
        <v>602</v>
      </c>
      <c r="B510" s="8">
        <v>45962</v>
      </c>
      <c r="C510" s="7" t="s">
        <v>33</v>
      </c>
      <c r="D510" s="7" t="s">
        <v>68</v>
      </c>
      <c r="E510" s="7" t="s">
        <v>24</v>
      </c>
      <c r="F510" s="7" t="s">
        <v>96</v>
      </c>
      <c r="G510" s="7">
        <v>4</v>
      </c>
      <c r="H510" s="9">
        <v>1450</v>
      </c>
      <c r="I510" s="10">
        <v>0</v>
      </c>
      <c r="J510" s="7" t="s">
        <v>64</v>
      </c>
      <c r="K510" s="7" t="s">
        <v>71</v>
      </c>
      <c r="L510" s="7" t="s">
        <v>90</v>
      </c>
      <c r="M510" s="11">
        <f t="shared" si="38"/>
        <v>5800</v>
      </c>
      <c r="N510" t="str">
        <f t="shared" si="39"/>
        <v>Nov</v>
      </c>
      <c r="O510">
        <f t="shared" si="40"/>
        <v>4</v>
      </c>
      <c r="P510">
        <f>VLOOKUP(F510,Products!A:C,3,FALSE)</f>
        <v>899</v>
      </c>
      <c r="Q510" s="12">
        <f t="shared" si="41"/>
        <v>2204</v>
      </c>
    </row>
    <row r="511" ht="15">
      <c r="A511" s="7" t="s">
        <v>603</v>
      </c>
      <c r="B511" s="8">
        <v>45962</v>
      </c>
      <c r="C511" s="7" t="s">
        <v>40</v>
      </c>
      <c r="D511" s="7" t="s">
        <v>85</v>
      </c>
      <c r="E511" s="7" t="s">
        <v>19</v>
      </c>
      <c r="F511" s="7" t="s">
        <v>77</v>
      </c>
      <c r="G511" s="7">
        <v>1</v>
      </c>
      <c r="H511" s="9">
        <v>520</v>
      </c>
      <c r="I511" s="10">
        <v>5.0000000000000003e-002</v>
      </c>
      <c r="J511" s="7" t="s">
        <v>89</v>
      </c>
      <c r="K511" s="7" t="s">
        <v>65</v>
      </c>
      <c r="L511" s="7" t="s">
        <v>66</v>
      </c>
      <c r="M511" s="11">
        <f t="shared" si="38"/>
        <v>494</v>
      </c>
      <c r="N511" t="str">
        <f t="shared" si="39"/>
        <v>Nov</v>
      </c>
      <c r="O511">
        <f t="shared" si="40"/>
        <v>4</v>
      </c>
      <c r="P511">
        <f>VLOOKUP(F511,Products!A:C,3,FALSE)</f>
        <v>322</v>
      </c>
      <c r="Q511" s="12">
        <f t="shared" si="41"/>
        <v>172</v>
      </c>
    </row>
    <row r="512" ht="15">
      <c r="A512" s="7" t="s">
        <v>604</v>
      </c>
      <c r="B512" s="8">
        <v>45962</v>
      </c>
      <c r="C512" s="7" t="s">
        <v>36</v>
      </c>
      <c r="D512" s="7" t="s">
        <v>76</v>
      </c>
      <c r="E512" s="7" t="s">
        <v>24</v>
      </c>
      <c r="F512" s="7" t="s">
        <v>26</v>
      </c>
      <c r="G512" s="7">
        <v>4</v>
      </c>
      <c r="H512" s="9">
        <v>3100</v>
      </c>
      <c r="I512" s="10">
        <v>0</v>
      </c>
      <c r="J512" s="7" t="s">
        <v>103</v>
      </c>
      <c r="K512" s="7" t="s">
        <v>65</v>
      </c>
      <c r="L512" s="7" t="s">
        <v>66</v>
      </c>
      <c r="M512" s="11">
        <f t="shared" si="38"/>
        <v>12400</v>
      </c>
      <c r="N512" t="str">
        <f t="shared" si="39"/>
        <v>Nov</v>
      </c>
      <c r="O512">
        <f t="shared" si="40"/>
        <v>4</v>
      </c>
      <c r="P512">
        <f>VLOOKUP(F512,Products!A:C,3,FALSE)</f>
        <v>1922</v>
      </c>
      <c r="Q512" s="12">
        <f t="shared" si="41"/>
        <v>4712</v>
      </c>
    </row>
    <row r="513" ht="15">
      <c r="A513" s="7" t="s">
        <v>605</v>
      </c>
      <c r="B513" s="8">
        <v>45963</v>
      </c>
      <c r="C513" s="7" t="s">
        <v>36</v>
      </c>
      <c r="D513" s="7" t="s">
        <v>76</v>
      </c>
      <c r="E513" s="7" t="s">
        <v>24</v>
      </c>
      <c r="F513" s="7" t="s">
        <v>35</v>
      </c>
      <c r="G513" s="7">
        <v>3</v>
      </c>
      <c r="H513" s="9">
        <v>8200</v>
      </c>
      <c r="I513" s="10">
        <v>0.14999999999999999</v>
      </c>
      <c r="J513" s="7" t="s">
        <v>83</v>
      </c>
      <c r="K513" s="7" t="s">
        <v>65</v>
      </c>
      <c r="L513" s="7" t="s">
        <v>66</v>
      </c>
      <c r="M513" s="11">
        <f t="shared" si="38"/>
        <v>20910</v>
      </c>
      <c r="N513" t="str">
        <f t="shared" si="39"/>
        <v>Nov</v>
      </c>
      <c r="O513">
        <f t="shared" si="40"/>
        <v>4</v>
      </c>
      <c r="P513">
        <f>VLOOKUP(F513,Products!A:C,3,FALSE)</f>
        <v>5084</v>
      </c>
      <c r="Q513" s="12">
        <f t="shared" si="41"/>
        <v>5658</v>
      </c>
    </row>
    <row r="514" ht="15">
      <c r="A514" s="7" t="s">
        <v>606</v>
      </c>
      <c r="B514" s="8">
        <v>45963</v>
      </c>
      <c r="C514" s="7" t="s">
        <v>40</v>
      </c>
      <c r="D514" s="7" t="s">
        <v>80</v>
      </c>
      <c r="E514" s="7" t="s">
        <v>24</v>
      </c>
      <c r="F514" s="7" t="s">
        <v>38</v>
      </c>
      <c r="G514" s="7">
        <v>1</v>
      </c>
      <c r="H514" s="9">
        <v>12500</v>
      </c>
      <c r="I514" s="10">
        <v>0</v>
      </c>
      <c r="J514" s="7" t="s">
        <v>103</v>
      </c>
      <c r="K514" s="7" t="s">
        <v>65</v>
      </c>
      <c r="L514" s="7" t="s">
        <v>74</v>
      </c>
      <c r="M514" s="11">
        <f t="shared" si="38"/>
        <v>12500</v>
      </c>
      <c r="N514" t="str">
        <f t="shared" si="39"/>
        <v>Nov</v>
      </c>
      <c r="O514">
        <f t="shared" si="40"/>
        <v>4</v>
      </c>
      <c r="P514">
        <f>VLOOKUP(F514,Products!A:C,3,FALSE)</f>
        <v>7750</v>
      </c>
      <c r="Q514" s="12">
        <f t="shared" si="41"/>
        <v>4750</v>
      </c>
    </row>
    <row r="515" ht="15">
      <c r="A515" s="7" t="s">
        <v>607</v>
      </c>
      <c r="B515" s="8">
        <v>45964</v>
      </c>
      <c r="C515" s="7" t="s">
        <v>33</v>
      </c>
      <c r="D515" s="7" t="s">
        <v>102</v>
      </c>
      <c r="E515" s="7" t="s">
        <v>19</v>
      </c>
      <c r="F515" s="7" t="s">
        <v>73</v>
      </c>
      <c r="G515" s="7">
        <v>2</v>
      </c>
      <c r="H515" s="9">
        <v>650</v>
      </c>
      <c r="I515" s="10">
        <v>0</v>
      </c>
      <c r="J515" s="7" t="s">
        <v>64</v>
      </c>
      <c r="K515" s="7" t="s">
        <v>65</v>
      </c>
      <c r="L515" s="7" t="s">
        <v>74</v>
      </c>
      <c r="M515" s="11">
        <f t="shared" si="38"/>
        <v>1300</v>
      </c>
      <c r="N515" t="str">
        <f t="shared" si="39"/>
        <v>Nov</v>
      </c>
      <c r="O515">
        <f t="shared" si="40"/>
        <v>4</v>
      </c>
      <c r="P515">
        <f>VLOOKUP(F515,Products!A:C,3,FALSE)</f>
        <v>403</v>
      </c>
      <c r="Q515" s="12">
        <f t="shared" si="41"/>
        <v>494</v>
      </c>
    </row>
    <row r="516" ht="15">
      <c r="A516" s="7" t="s">
        <v>608</v>
      </c>
      <c r="B516" s="8">
        <v>45964</v>
      </c>
      <c r="C516" s="7" t="s">
        <v>33</v>
      </c>
      <c r="D516" s="7" t="s">
        <v>68</v>
      </c>
      <c r="E516" s="7" t="s">
        <v>29</v>
      </c>
      <c r="F516" s="7" t="s">
        <v>120</v>
      </c>
      <c r="G516" s="7">
        <v>3</v>
      </c>
      <c r="H516" s="9">
        <v>2300</v>
      </c>
      <c r="I516" s="10">
        <v>5.0000000000000003e-002</v>
      </c>
      <c r="J516" s="7" t="s">
        <v>89</v>
      </c>
      <c r="K516" s="7" t="s">
        <v>71</v>
      </c>
      <c r="L516" s="7" t="s">
        <v>66</v>
      </c>
      <c r="M516" s="11">
        <f t="shared" si="38"/>
        <v>6555</v>
      </c>
      <c r="N516" t="str">
        <f t="shared" si="39"/>
        <v>Nov</v>
      </c>
      <c r="O516">
        <f t="shared" si="40"/>
        <v>4</v>
      </c>
      <c r="P516">
        <f>VLOOKUP(F516,Products!A:C,3,FALSE)</f>
        <v>1426</v>
      </c>
      <c r="Q516" s="12">
        <f t="shared" si="41"/>
        <v>2277</v>
      </c>
    </row>
    <row r="517" ht="15">
      <c r="A517" s="7" t="s">
        <v>609</v>
      </c>
      <c r="B517" s="8">
        <v>45964</v>
      </c>
      <c r="C517" s="7" t="s">
        <v>23</v>
      </c>
      <c r="D517" s="7" t="s">
        <v>95</v>
      </c>
      <c r="E517" s="7" t="s">
        <v>24</v>
      </c>
      <c r="F517" s="7" t="s">
        <v>35</v>
      </c>
      <c r="G517" s="7">
        <v>1</v>
      </c>
      <c r="H517" s="9">
        <v>8200</v>
      </c>
      <c r="I517" s="10">
        <v>0</v>
      </c>
      <c r="J517" s="7" t="s">
        <v>70</v>
      </c>
      <c r="K517" s="7" t="s">
        <v>65</v>
      </c>
      <c r="L517" s="7" t="s">
        <v>90</v>
      </c>
      <c r="M517" s="11">
        <f t="shared" si="38"/>
        <v>8200</v>
      </c>
      <c r="N517" t="str">
        <f t="shared" si="39"/>
        <v>Nov</v>
      </c>
      <c r="O517">
        <f t="shared" si="40"/>
        <v>4</v>
      </c>
      <c r="P517">
        <f>VLOOKUP(F517,Products!A:C,3,FALSE)</f>
        <v>5084</v>
      </c>
      <c r="Q517" s="12">
        <f t="shared" si="41"/>
        <v>3116</v>
      </c>
    </row>
    <row r="518" ht="15">
      <c r="A518" s="7" t="s">
        <v>610</v>
      </c>
      <c r="B518" s="8">
        <v>45965</v>
      </c>
      <c r="C518" s="7" t="s">
        <v>40</v>
      </c>
      <c r="D518" s="7" t="s">
        <v>85</v>
      </c>
      <c r="E518" s="7" t="s">
        <v>24</v>
      </c>
      <c r="F518" s="7" t="s">
        <v>31</v>
      </c>
      <c r="G518" s="7">
        <v>4</v>
      </c>
      <c r="H518" s="9">
        <v>5400</v>
      </c>
      <c r="I518" s="10">
        <v>0</v>
      </c>
      <c r="J518" s="7" t="s">
        <v>103</v>
      </c>
      <c r="K518" s="7" t="s">
        <v>71</v>
      </c>
      <c r="L518" s="7" t="s">
        <v>74</v>
      </c>
      <c r="M518" s="11">
        <f t="shared" si="38"/>
        <v>21600</v>
      </c>
      <c r="N518" t="str">
        <f t="shared" si="39"/>
        <v>Nov</v>
      </c>
      <c r="O518">
        <f t="shared" si="40"/>
        <v>4</v>
      </c>
      <c r="P518">
        <f>VLOOKUP(F518,Products!A:C,3,FALSE)</f>
        <v>3348</v>
      </c>
      <c r="Q518" s="12">
        <f t="shared" si="41"/>
        <v>8208</v>
      </c>
    </row>
    <row r="519" ht="15">
      <c r="A519" s="7" t="s">
        <v>611</v>
      </c>
      <c r="B519" s="8">
        <v>45967</v>
      </c>
      <c r="C519" s="7" t="s">
        <v>23</v>
      </c>
      <c r="D519" s="7" t="s">
        <v>105</v>
      </c>
      <c r="E519" s="7" t="s">
        <v>29</v>
      </c>
      <c r="F519" s="7" t="s">
        <v>21</v>
      </c>
      <c r="G519" s="7">
        <v>2</v>
      </c>
      <c r="H519" s="9">
        <v>3600</v>
      </c>
      <c r="I519" s="10">
        <v>0.14999999999999999</v>
      </c>
      <c r="J519" s="7" t="s">
        <v>103</v>
      </c>
      <c r="K519" s="7" t="s">
        <v>65</v>
      </c>
      <c r="L519" s="7" t="s">
        <v>78</v>
      </c>
      <c r="M519" s="11">
        <f t="shared" si="38"/>
        <v>6120</v>
      </c>
      <c r="N519" t="str">
        <f t="shared" si="39"/>
        <v>Nov</v>
      </c>
      <c r="O519">
        <f t="shared" si="40"/>
        <v>4</v>
      </c>
      <c r="P519">
        <f>VLOOKUP(F519,Products!A:C,3,FALSE)</f>
        <v>2232</v>
      </c>
      <c r="Q519" s="12">
        <f t="shared" si="41"/>
        <v>1656</v>
      </c>
    </row>
    <row r="520" ht="15">
      <c r="A520" s="7" t="s">
        <v>612</v>
      </c>
      <c r="B520" s="8">
        <v>45969</v>
      </c>
      <c r="C520" s="7" t="s">
        <v>36</v>
      </c>
      <c r="D520" s="7" t="s">
        <v>114</v>
      </c>
      <c r="E520" s="7" t="s">
        <v>34</v>
      </c>
      <c r="F520" s="7" t="s">
        <v>69</v>
      </c>
      <c r="G520" s="7">
        <v>35</v>
      </c>
      <c r="H520" s="9">
        <v>120</v>
      </c>
      <c r="I520" s="10">
        <v>5.0000000000000003e-002</v>
      </c>
      <c r="J520" s="7" t="s">
        <v>89</v>
      </c>
      <c r="K520" s="7" t="s">
        <v>71</v>
      </c>
      <c r="L520" s="7" t="s">
        <v>66</v>
      </c>
      <c r="M520" s="11">
        <f t="shared" si="38"/>
        <v>3990</v>
      </c>
      <c r="N520" t="str">
        <f t="shared" si="39"/>
        <v>Nov</v>
      </c>
      <c r="O520">
        <f t="shared" si="40"/>
        <v>4</v>
      </c>
      <c r="P520">
        <f>VLOOKUP(F520,Products!A:C,3,FALSE)</f>
        <v>74</v>
      </c>
      <c r="Q520" s="12">
        <f t="shared" si="41"/>
        <v>1400</v>
      </c>
    </row>
    <row r="521" ht="15">
      <c r="A521" s="7" t="s">
        <v>613</v>
      </c>
      <c r="B521" s="8">
        <v>45970</v>
      </c>
      <c r="C521" s="7" t="s">
        <v>36</v>
      </c>
      <c r="D521" s="7" t="s">
        <v>114</v>
      </c>
      <c r="E521" s="7" t="s">
        <v>24</v>
      </c>
      <c r="F521" s="7" t="s">
        <v>31</v>
      </c>
      <c r="G521" s="7">
        <v>1</v>
      </c>
      <c r="H521" s="9">
        <v>5400</v>
      </c>
      <c r="I521" s="10">
        <v>0</v>
      </c>
      <c r="J521" s="7" t="s">
        <v>70</v>
      </c>
      <c r="K521" s="7" t="s">
        <v>65</v>
      </c>
      <c r="L521" s="7" t="s">
        <v>74</v>
      </c>
      <c r="M521" s="11">
        <f t="shared" si="38"/>
        <v>5400</v>
      </c>
      <c r="N521" t="str">
        <f t="shared" si="39"/>
        <v>Nov</v>
      </c>
      <c r="O521">
        <f t="shared" si="40"/>
        <v>4</v>
      </c>
      <c r="P521">
        <f>VLOOKUP(F521,Products!A:C,3,FALSE)</f>
        <v>3348</v>
      </c>
      <c r="Q521" s="12">
        <f t="shared" si="41"/>
        <v>2052</v>
      </c>
    </row>
    <row r="522" ht="15">
      <c r="A522" s="7" t="s">
        <v>614</v>
      </c>
      <c r="B522" s="8">
        <v>45971</v>
      </c>
      <c r="C522" s="7" t="s">
        <v>18</v>
      </c>
      <c r="D522" s="7" t="s">
        <v>63</v>
      </c>
      <c r="E522" s="7" t="s">
        <v>29</v>
      </c>
      <c r="F522" s="7" t="s">
        <v>120</v>
      </c>
      <c r="G522" s="7">
        <v>1</v>
      </c>
      <c r="H522" s="9">
        <v>2300</v>
      </c>
      <c r="I522" s="10">
        <v>0</v>
      </c>
      <c r="J522" s="7" t="s">
        <v>89</v>
      </c>
      <c r="K522" s="7" t="s">
        <v>65</v>
      </c>
      <c r="L522" s="7" t="s">
        <v>78</v>
      </c>
      <c r="M522" s="11">
        <f t="shared" si="38"/>
        <v>2300</v>
      </c>
      <c r="N522" t="str">
        <f t="shared" si="39"/>
        <v>Nov</v>
      </c>
      <c r="O522">
        <f t="shared" si="40"/>
        <v>4</v>
      </c>
      <c r="P522">
        <f>VLOOKUP(F522,Products!A:C,3,FALSE)</f>
        <v>1426</v>
      </c>
      <c r="Q522" s="12">
        <f t="shared" si="41"/>
        <v>874</v>
      </c>
    </row>
    <row r="523" ht="15">
      <c r="A523" s="7" t="s">
        <v>615</v>
      </c>
      <c r="B523" s="8">
        <v>45974</v>
      </c>
      <c r="C523" s="7" t="s">
        <v>23</v>
      </c>
      <c r="D523" s="7" t="s">
        <v>95</v>
      </c>
      <c r="E523" s="7" t="s">
        <v>24</v>
      </c>
      <c r="F523" s="7" t="s">
        <v>31</v>
      </c>
      <c r="G523" s="7">
        <v>4</v>
      </c>
      <c r="H523" s="9">
        <v>5400</v>
      </c>
      <c r="I523" s="10">
        <v>0</v>
      </c>
      <c r="J523" s="7" t="s">
        <v>103</v>
      </c>
      <c r="K523" s="7" t="s">
        <v>71</v>
      </c>
      <c r="L523" s="7" t="s">
        <v>90</v>
      </c>
      <c r="M523" s="11">
        <f t="shared" si="38"/>
        <v>21600</v>
      </c>
      <c r="N523" t="str">
        <f t="shared" si="39"/>
        <v>Nov</v>
      </c>
      <c r="O523">
        <f t="shared" si="40"/>
        <v>4</v>
      </c>
      <c r="P523">
        <f>VLOOKUP(F523,Products!A:C,3,FALSE)</f>
        <v>3348</v>
      </c>
      <c r="Q523" s="12">
        <f t="shared" si="41"/>
        <v>8208</v>
      </c>
    </row>
    <row r="524" ht="15">
      <c r="A524" s="7" t="s">
        <v>616</v>
      </c>
      <c r="B524" s="8">
        <v>45974</v>
      </c>
      <c r="C524" s="7" t="s">
        <v>33</v>
      </c>
      <c r="D524" s="7" t="s">
        <v>68</v>
      </c>
      <c r="E524" s="7" t="s">
        <v>19</v>
      </c>
      <c r="F524" s="7" t="s">
        <v>73</v>
      </c>
      <c r="G524" s="7">
        <v>1</v>
      </c>
      <c r="H524" s="9">
        <v>650</v>
      </c>
      <c r="I524" s="10">
        <v>0</v>
      </c>
      <c r="J524" s="7" t="s">
        <v>64</v>
      </c>
      <c r="K524" s="7" t="s">
        <v>65</v>
      </c>
      <c r="L524" s="7" t="s">
        <v>66</v>
      </c>
      <c r="M524" s="11">
        <f t="shared" si="38"/>
        <v>650</v>
      </c>
      <c r="N524" t="str">
        <f t="shared" si="39"/>
        <v>Nov</v>
      </c>
      <c r="O524">
        <f t="shared" si="40"/>
        <v>4</v>
      </c>
      <c r="P524">
        <f>VLOOKUP(F524,Products!A:C,3,FALSE)</f>
        <v>403</v>
      </c>
      <c r="Q524" s="12">
        <f t="shared" si="41"/>
        <v>247</v>
      </c>
    </row>
    <row r="525" ht="15">
      <c r="A525" s="7" t="s">
        <v>617</v>
      </c>
      <c r="B525" s="8">
        <v>45975</v>
      </c>
      <c r="C525" s="7" t="s">
        <v>36</v>
      </c>
      <c r="D525" s="7" t="s">
        <v>114</v>
      </c>
      <c r="E525" s="7" t="s">
        <v>19</v>
      </c>
      <c r="F525" s="7" t="s">
        <v>106</v>
      </c>
      <c r="G525" s="7">
        <v>3</v>
      </c>
      <c r="H525" s="9">
        <v>180</v>
      </c>
      <c r="I525" s="10">
        <v>0.14999999999999999</v>
      </c>
      <c r="J525" s="7" t="s">
        <v>64</v>
      </c>
      <c r="K525" s="7" t="s">
        <v>71</v>
      </c>
      <c r="L525" s="7" t="s">
        <v>78</v>
      </c>
      <c r="M525" s="11">
        <f t="shared" si="38"/>
        <v>459</v>
      </c>
      <c r="N525" t="str">
        <f t="shared" si="39"/>
        <v>Nov</v>
      </c>
      <c r="O525">
        <f t="shared" si="40"/>
        <v>4</v>
      </c>
      <c r="P525">
        <f>VLOOKUP(F525,Products!A:C,3,FALSE)</f>
        <v>112</v>
      </c>
      <c r="Q525" s="12">
        <f t="shared" si="41"/>
        <v>123</v>
      </c>
    </row>
    <row r="526" ht="15">
      <c r="A526" s="7" t="s">
        <v>618</v>
      </c>
      <c r="B526" s="8">
        <v>45976</v>
      </c>
      <c r="C526" s="7" t="s">
        <v>33</v>
      </c>
      <c r="D526" s="7" t="s">
        <v>68</v>
      </c>
      <c r="E526" s="7" t="s">
        <v>24</v>
      </c>
      <c r="F526" s="7" t="s">
        <v>31</v>
      </c>
      <c r="G526" s="7">
        <v>3</v>
      </c>
      <c r="H526" s="9">
        <v>5400</v>
      </c>
      <c r="I526" s="10">
        <v>5.0000000000000003e-002</v>
      </c>
      <c r="J526" s="7" t="s">
        <v>89</v>
      </c>
      <c r="K526" s="7" t="s">
        <v>65</v>
      </c>
      <c r="L526" s="7" t="s">
        <v>90</v>
      </c>
      <c r="M526" s="11">
        <f t="shared" si="38"/>
        <v>15390</v>
      </c>
      <c r="N526" t="str">
        <f t="shared" si="39"/>
        <v>Nov</v>
      </c>
      <c r="O526">
        <f t="shared" si="40"/>
        <v>4</v>
      </c>
      <c r="P526">
        <f>VLOOKUP(F526,Products!A:C,3,FALSE)</f>
        <v>3348</v>
      </c>
      <c r="Q526" s="12">
        <f t="shared" si="41"/>
        <v>5346</v>
      </c>
    </row>
    <row r="527" ht="15">
      <c r="A527" s="7" t="s">
        <v>619</v>
      </c>
      <c r="B527" s="8">
        <v>45976</v>
      </c>
      <c r="C527" s="7" t="s">
        <v>36</v>
      </c>
      <c r="D527" s="7" t="s">
        <v>76</v>
      </c>
      <c r="E527" s="7" t="s">
        <v>29</v>
      </c>
      <c r="F527" s="7" t="s">
        <v>120</v>
      </c>
      <c r="G527" s="7">
        <v>1</v>
      </c>
      <c r="H527" s="9">
        <v>2300</v>
      </c>
      <c r="I527" s="10">
        <v>5.0000000000000003e-002</v>
      </c>
      <c r="J527" s="7" t="s">
        <v>89</v>
      </c>
      <c r="K527" s="7" t="s">
        <v>65</v>
      </c>
      <c r="L527" s="7" t="s">
        <v>66</v>
      </c>
      <c r="M527" s="11">
        <f t="shared" si="38"/>
        <v>2185</v>
      </c>
      <c r="N527" t="str">
        <f t="shared" si="39"/>
        <v>Nov</v>
      </c>
      <c r="O527">
        <f t="shared" si="40"/>
        <v>4</v>
      </c>
      <c r="P527">
        <f>VLOOKUP(F527,Products!A:C,3,FALSE)</f>
        <v>1426</v>
      </c>
      <c r="Q527" s="12">
        <f t="shared" si="41"/>
        <v>759</v>
      </c>
    </row>
    <row r="528" ht="15">
      <c r="A528" s="7" t="s">
        <v>620</v>
      </c>
      <c r="B528" s="8">
        <v>45978</v>
      </c>
      <c r="C528" s="7" t="s">
        <v>36</v>
      </c>
      <c r="D528" s="7" t="s">
        <v>114</v>
      </c>
      <c r="E528" s="7" t="s">
        <v>34</v>
      </c>
      <c r="F528" s="7" t="s">
        <v>69</v>
      </c>
      <c r="G528" s="7">
        <v>16</v>
      </c>
      <c r="H528" s="9">
        <v>120</v>
      </c>
      <c r="I528" s="10">
        <v>0.10000000000000001</v>
      </c>
      <c r="J528" s="7" t="s">
        <v>93</v>
      </c>
      <c r="K528" s="7" t="s">
        <v>65</v>
      </c>
      <c r="L528" s="7" t="s">
        <v>90</v>
      </c>
      <c r="M528" s="11">
        <f t="shared" si="38"/>
        <v>1728</v>
      </c>
      <c r="N528" t="str">
        <f t="shared" si="39"/>
        <v>Nov</v>
      </c>
      <c r="O528">
        <f t="shared" si="40"/>
        <v>4</v>
      </c>
      <c r="P528">
        <f>VLOOKUP(F528,Products!A:C,3,FALSE)</f>
        <v>74</v>
      </c>
      <c r="Q528" s="12">
        <f t="shared" si="41"/>
        <v>544</v>
      </c>
    </row>
    <row r="529" ht="15">
      <c r="A529" s="7" t="s">
        <v>621</v>
      </c>
      <c r="B529" s="8">
        <v>45979</v>
      </c>
      <c r="C529" s="7" t="s">
        <v>18</v>
      </c>
      <c r="D529" s="7" t="s">
        <v>63</v>
      </c>
      <c r="E529" s="7" t="s">
        <v>24</v>
      </c>
      <c r="F529" s="7" t="s">
        <v>26</v>
      </c>
      <c r="G529" s="7">
        <v>1</v>
      </c>
      <c r="H529" s="9">
        <v>3100</v>
      </c>
      <c r="I529" s="10">
        <v>0.10000000000000001</v>
      </c>
      <c r="J529" s="7" t="s">
        <v>64</v>
      </c>
      <c r="K529" s="7" t="s">
        <v>65</v>
      </c>
      <c r="L529" s="7" t="s">
        <v>66</v>
      </c>
      <c r="M529" s="11">
        <f t="shared" si="38"/>
        <v>2790</v>
      </c>
      <c r="N529" t="str">
        <f t="shared" si="39"/>
        <v>Nov</v>
      </c>
      <c r="O529">
        <f t="shared" si="40"/>
        <v>4</v>
      </c>
      <c r="P529">
        <f>VLOOKUP(F529,Products!A:C,3,FALSE)</f>
        <v>1922</v>
      </c>
      <c r="Q529" s="12">
        <f t="shared" si="41"/>
        <v>868</v>
      </c>
    </row>
    <row r="530" ht="15">
      <c r="A530" s="7" t="s">
        <v>622</v>
      </c>
      <c r="B530" s="8">
        <v>45979</v>
      </c>
      <c r="C530" s="7" t="s">
        <v>40</v>
      </c>
      <c r="D530" s="7" t="s">
        <v>98</v>
      </c>
      <c r="E530" s="7" t="s">
        <v>34</v>
      </c>
      <c r="F530" s="7" t="s">
        <v>69</v>
      </c>
      <c r="G530" s="7">
        <v>37</v>
      </c>
      <c r="H530" s="9">
        <v>120</v>
      </c>
      <c r="I530" s="10">
        <v>5.0000000000000003e-002</v>
      </c>
      <c r="J530" s="7" t="s">
        <v>89</v>
      </c>
      <c r="K530" s="7" t="s">
        <v>65</v>
      </c>
      <c r="L530" s="7" t="s">
        <v>78</v>
      </c>
      <c r="M530" s="11">
        <f t="shared" si="38"/>
        <v>4218</v>
      </c>
      <c r="N530" t="str">
        <f t="shared" si="39"/>
        <v>Nov</v>
      </c>
      <c r="O530">
        <f t="shared" si="40"/>
        <v>4</v>
      </c>
      <c r="P530">
        <f>VLOOKUP(F530,Products!A:C,3,FALSE)</f>
        <v>74</v>
      </c>
      <c r="Q530" s="12">
        <f t="shared" si="41"/>
        <v>1480</v>
      </c>
    </row>
    <row r="531" ht="15">
      <c r="A531" s="7" t="s">
        <v>623</v>
      </c>
      <c r="B531" s="8">
        <v>45980</v>
      </c>
      <c r="C531" s="7" t="s">
        <v>23</v>
      </c>
      <c r="D531" s="7" t="s">
        <v>95</v>
      </c>
      <c r="E531" s="7" t="s">
        <v>34</v>
      </c>
      <c r="F531" s="7" t="s">
        <v>92</v>
      </c>
      <c r="G531" s="7">
        <v>25</v>
      </c>
      <c r="H531" s="9">
        <v>85</v>
      </c>
      <c r="I531" s="10">
        <v>0.14999999999999999</v>
      </c>
      <c r="J531" s="7" t="s">
        <v>103</v>
      </c>
      <c r="K531" s="7" t="s">
        <v>71</v>
      </c>
      <c r="L531" s="7" t="s">
        <v>90</v>
      </c>
      <c r="M531" s="11">
        <f t="shared" si="38"/>
        <v>1806.25</v>
      </c>
      <c r="N531" t="str">
        <f t="shared" si="39"/>
        <v>Nov</v>
      </c>
      <c r="O531">
        <f t="shared" si="40"/>
        <v>4</v>
      </c>
      <c r="P531">
        <f>VLOOKUP(F531,Products!A:C,3,FALSE)</f>
        <v>53</v>
      </c>
      <c r="Q531" s="12">
        <f t="shared" si="41"/>
        <v>481.25</v>
      </c>
    </row>
    <row r="532" ht="15">
      <c r="A532" s="7" t="s">
        <v>624</v>
      </c>
      <c r="B532" s="8">
        <v>45980</v>
      </c>
      <c r="C532" s="7" t="s">
        <v>33</v>
      </c>
      <c r="D532" s="7" t="s">
        <v>68</v>
      </c>
      <c r="E532" s="7" t="s">
        <v>24</v>
      </c>
      <c r="F532" s="7" t="s">
        <v>96</v>
      </c>
      <c r="G532" s="7">
        <v>2</v>
      </c>
      <c r="H532" s="9">
        <v>1450</v>
      </c>
      <c r="I532" s="10">
        <v>0.10000000000000001</v>
      </c>
      <c r="J532" s="7" t="s">
        <v>93</v>
      </c>
      <c r="K532" s="7" t="s">
        <v>65</v>
      </c>
      <c r="L532" s="7" t="s">
        <v>66</v>
      </c>
      <c r="M532" s="11">
        <f t="shared" si="38"/>
        <v>2610</v>
      </c>
      <c r="N532" t="str">
        <f t="shared" si="39"/>
        <v>Nov</v>
      </c>
      <c r="O532">
        <f t="shared" si="40"/>
        <v>4</v>
      </c>
      <c r="P532">
        <f>VLOOKUP(F532,Products!A:C,3,FALSE)</f>
        <v>899</v>
      </c>
      <c r="Q532" s="12">
        <f t="shared" si="41"/>
        <v>812</v>
      </c>
    </row>
    <row r="533" ht="15">
      <c r="A533" s="7" t="s">
        <v>625</v>
      </c>
      <c r="B533" s="8">
        <v>45981</v>
      </c>
      <c r="C533" s="7" t="s">
        <v>40</v>
      </c>
      <c r="D533" s="7" t="s">
        <v>80</v>
      </c>
      <c r="E533" s="7" t="s">
        <v>24</v>
      </c>
      <c r="F533" s="7" t="s">
        <v>35</v>
      </c>
      <c r="G533" s="7">
        <v>1</v>
      </c>
      <c r="H533" s="9">
        <v>8200</v>
      </c>
      <c r="I533" s="10">
        <v>0</v>
      </c>
      <c r="J533" s="7" t="s">
        <v>64</v>
      </c>
      <c r="K533" s="7" t="s">
        <v>65</v>
      </c>
      <c r="L533" s="7" t="s">
        <v>78</v>
      </c>
      <c r="M533" s="11">
        <f t="shared" si="38"/>
        <v>8200</v>
      </c>
      <c r="N533" t="str">
        <f t="shared" si="39"/>
        <v>Nov</v>
      </c>
      <c r="O533">
        <f t="shared" si="40"/>
        <v>4</v>
      </c>
      <c r="P533">
        <f>VLOOKUP(F533,Products!A:C,3,FALSE)</f>
        <v>5084</v>
      </c>
      <c r="Q533" s="12">
        <f t="shared" si="41"/>
        <v>3116</v>
      </c>
    </row>
    <row r="534" ht="15">
      <c r="A534" s="7" t="s">
        <v>626</v>
      </c>
      <c r="B534" s="8">
        <v>45982</v>
      </c>
      <c r="C534" s="7" t="s">
        <v>40</v>
      </c>
      <c r="D534" s="7" t="s">
        <v>98</v>
      </c>
      <c r="E534" s="7" t="s">
        <v>24</v>
      </c>
      <c r="F534" s="7" t="s">
        <v>96</v>
      </c>
      <c r="G534" s="7">
        <v>1</v>
      </c>
      <c r="H534" s="9">
        <v>1450</v>
      </c>
      <c r="I534" s="10">
        <v>0</v>
      </c>
      <c r="J534" s="7" t="s">
        <v>83</v>
      </c>
      <c r="K534" s="7" t="s">
        <v>65</v>
      </c>
      <c r="L534" s="7" t="s">
        <v>90</v>
      </c>
      <c r="M534" s="11">
        <f t="shared" si="38"/>
        <v>1450</v>
      </c>
      <c r="N534" t="str">
        <f t="shared" si="39"/>
        <v>Nov</v>
      </c>
      <c r="O534">
        <f t="shared" si="40"/>
        <v>4</v>
      </c>
      <c r="P534">
        <f>VLOOKUP(F534,Products!A:C,3,FALSE)</f>
        <v>899</v>
      </c>
      <c r="Q534" s="12">
        <f t="shared" si="41"/>
        <v>551</v>
      </c>
    </row>
    <row r="535" ht="15">
      <c r="A535" s="7" t="s">
        <v>627</v>
      </c>
      <c r="B535" s="8">
        <v>45985</v>
      </c>
      <c r="C535" s="7" t="s">
        <v>33</v>
      </c>
      <c r="D535" s="7" t="s">
        <v>68</v>
      </c>
      <c r="E535" s="7" t="s">
        <v>34</v>
      </c>
      <c r="F535" s="7" t="s">
        <v>86</v>
      </c>
      <c r="G535" s="7">
        <v>8</v>
      </c>
      <c r="H535" s="9">
        <v>210</v>
      </c>
      <c r="I535" s="10">
        <v>0</v>
      </c>
      <c r="J535" s="7" t="s">
        <v>64</v>
      </c>
      <c r="K535" s="7" t="s">
        <v>65</v>
      </c>
      <c r="L535" s="7" t="s">
        <v>78</v>
      </c>
      <c r="M535" s="11">
        <f t="shared" si="38"/>
        <v>1680</v>
      </c>
      <c r="N535" t="str">
        <f t="shared" si="39"/>
        <v>Nov</v>
      </c>
      <c r="O535">
        <f t="shared" si="40"/>
        <v>4</v>
      </c>
      <c r="P535">
        <f>VLOOKUP(F535,Products!A:C,3,FALSE)</f>
        <v>130</v>
      </c>
      <c r="Q535" s="12">
        <f t="shared" si="41"/>
        <v>640</v>
      </c>
    </row>
    <row r="536" ht="15">
      <c r="A536" s="7" t="s">
        <v>628</v>
      </c>
      <c r="B536" s="8">
        <v>45985</v>
      </c>
      <c r="C536" s="7" t="s">
        <v>28</v>
      </c>
      <c r="D536" s="7" t="s">
        <v>112</v>
      </c>
      <c r="E536" s="7" t="s">
        <v>24</v>
      </c>
      <c r="F536" s="7" t="s">
        <v>38</v>
      </c>
      <c r="G536" s="7">
        <v>4</v>
      </c>
      <c r="H536" s="9">
        <v>12500</v>
      </c>
      <c r="I536" s="10">
        <v>0</v>
      </c>
      <c r="J536" s="7" t="s">
        <v>70</v>
      </c>
      <c r="K536" s="7" t="s">
        <v>71</v>
      </c>
      <c r="L536" s="7" t="s">
        <v>78</v>
      </c>
      <c r="M536" s="11">
        <f t="shared" si="38"/>
        <v>50000</v>
      </c>
      <c r="N536" t="str">
        <f t="shared" si="39"/>
        <v>Nov</v>
      </c>
      <c r="O536">
        <f t="shared" si="40"/>
        <v>4</v>
      </c>
      <c r="P536">
        <f>VLOOKUP(F536,Products!A:C,3,FALSE)</f>
        <v>7750</v>
      </c>
      <c r="Q536" s="12">
        <f t="shared" si="41"/>
        <v>19000</v>
      </c>
    </row>
    <row r="537" ht="15">
      <c r="A537" s="7" t="s">
        <v>629</v>
      </c>
      <c r="B537" s="8">
        <v>45986</v>
      </c>
      <c r="C537" s="7" t="s">
        <v>33</v>
      </c>
      <c r="D537" s="7" t="s">
        <v>68</v>
      </c>
      <c r="E537" s="7" t="s">
        <v>29</v>
      </c>
      <c r="F537" s="7" t="s">
        <v>120</v>
      </c>
      <c r="G537" s="7">
        <v>3</v>
      </c>
      <c r="H537" s="9">
        <v>2300</v>
      </c>
      <c r="I537" s="10">
        <v>0.14999999999999999</v>
      </c>
      <c r="J537" s="7" t="s">
        <v>103</v>
      </c>
      <c r="K537" s="7" t="s">
        <v>71</v>
      </c>
      <c r="L537" s="7" t="s">
        <v>66</v>
      </c>
      <c r="M537" s="11">
        <f t="shared" si="38"/>
        <v>5865</v>
      </c>
      <c r="N537" t="str">
        <f t="shared" si="39"/>
        <v>Nov</v>
      </c>
      <c r="O537">
        <f t="shared" si="40"/>
        <v>4</v>
      </c>
      <c r="P537">
        <f>VLOOKUP(F537,Products!A:C,3,FALSE)</f>
        <v>1426</v>
      </c>
      <c r="Q537" s="12">
        <f t="shared" si="41"/>
        <v>1587</v>
      </c>
    </row>
    <row r="538" ht="15">
      <c r="A538" s="7" t="s">
        <v>630</v>
      </c>
      <c r="B538" s="8">
        <v>45987</v>
      </c>
      <c r="C538" s="7" t="s">
        <v>40</v>
      </c>
      <c r="D538" s="7" t="s">
        <v>98</v>
      </c>
      <c r="E538" s="7" t="s">
        <v>34</v>
      </c>
      <c r="F538" s="7" t="s">
        <v>69</v>
      </c>
      <c r="G538" s="7">
        <v>24</v>
      </c>
      <c r="H538" s="9">
        <v>120</v>
      </c>
      <c r="I538" s="10">
        <v>0</v>
      </c>
      <c r="J538" s="7" t="s">
        <v>64</v>
      </c>
      <c r="K538" s="7" t="s">
        <v>71</v>
      </c>
      <c r="L538" s="7" t="s">
        <v>78</v>
      </c>
      <c r="M538" s="11">
        <f t="shared" si="38"/>
        <v>2880</v>
      </c>
      <c r="N538" t="str">
        <f t="shared" si="39"/>
        <v>Nov</v>
      </c>
      <c r="O538">
        <f t="shared" si="40"/>
        <v>4</v>
      </c>
      <c r="P538">
        <f>VLOOKUP(F538,Products!A:C,3,FALSE)</f>
        <v>74</v>
      </c>
      <c r="Q538" s="12">
        <f t="shared" si="41"/>
        <v>1104</v>
      </c>
    </row>
    <row r="539" ht="15">
      <c r="A539" s="7" t="s">
        <v>631</v>
      </c>
      <c r="B539" s="8">
        <v>45988</v>
      </c>
      <c r="C539" s="7" t="s">
        <v>36</v>
      </c>
      <c r="D539" s="7" t="s">
        <v>76</v>
      </c>
      <c r="E539" s="7" t="s">
        <v>24</v>
      </c>
      <c r="F539" s="7" t="s">
        <v>35</v>
      </c>
      <c r="G539" s="7">
        <v>2</v>
      </c>
      <c r="H539" s="9">
        <v>8200</v>
      </c>
      <c r="I539" s="10">
        <v>0</v>
      </c>
      <c r="J539" s="7" t="s">
        <v>83</v>
      </c>
      <c r="K539" s="7" t="s">
        <v>71</v>
      </c>
      <c r="L539" s="7" t="s">
        <v>74</v>
      </c>
      <c r="M539" s="11">
        <f t="shared" si="38"/>
        <v>16400</v>
      </c>
      <c r="N539" t="str">
        <f t="shared" si="39"/>
        <v>Nov</v>
      </c>
      <c r="O539">
        <f t="shared" si="40"/>
        <v>4</v>
      </c>
      <c r="P539">
        <f>VLOOKUP(F539,Products!A:C,3,FALSE)</f>
        <v>5084</v>
      </c>
      <c r="Q539" s="12">
        <f t="shared" si="41"/>
        <v>6232</v>
      </c>
    </row>
    <row r="540" ht="15">
      <c r="A540" s="7" t="s">
        <v>632</v>
      </c>
      <c r="B540" s="8">
        <v>45988</v>
      </c>
      <c r="C540" s="7" t="s">
        <v>36</v>
      </c>
      <c r="D540" s="7" t="s">
        <v>76</v>
      </c>
      <c r="E540" s="7" t="s">
        <v>34</v>
      </c>
      <c r="F540" s="7" t="s">
        <v>69</v>
      </c>
      <c r="G540" s="7">
        <v>11</v>
      </c>
      <c r="H540" s="9">
        <v>120</v>
      </c>
      <c r="I540" s="10">
        <v>0.14999999999999999</v>
      </c>
      <c r="J540" s="7" t="s">
        <v>83</v>
      </c>
      <c r="K540" s="7" t="s">
        <v>65</v>
      </c>
      <c r="L540" s="7" t="s">
        <v>90</v>
      </c>
      <c r="M540" s="11">
        <f t="shared" si="38"/>
        <v>1122</v>
      </c>
      <c r="N540" t="str">
        <f t="shared" si="39"/>
        <v>Nov</v>
      </c>
      <c r="O540">
        <f t="shared" si="40"/>
        <v>4</v>
      </c>
      <c r="P540">
        <f>VLOOKUP(F540,Products!A:C,3,FALSE)</f>
        <v>74</v>
      </c>
      <c r="Q540" s="12">
        <f t="shared" si="41"/>
        <v>308</v>
      </c>
    </row>
    <row r="541" ht="15">
      <c r="A541" s="7" t="s">
        <v>633</v>
      </c>
      <c r="B541" s="8">
        <v>45988</v>
      </c>
      <c r="C541" s="7" t="s">
        <v>36</v>
      </c>
      <c r="D541" s="7" t="s">
        <v>114</v>
      </c>
      <c r="E541" s="7" t="s">
        <v>19</v>
      </c>
      <c r="F541" s="7" t="s">
        <v>73</v>
      </c>
      <c r="G541" s="7">
        <v>2</v>
      </c>
      <c r="H541" s="9">
        <v>650</v>
      </c>
      <c r="I541" s="10">
        <v>0</v>
      </c>
      <c r="J541" s="7" t="s">
        <v>83</v>
      </c>
      <c r="K541" s="7" t="s">
        <v>65</v>
      </c>
      <c r="L541" s="7" t="s">
        <v>66</v>
      </c>
      <c r="M541" s="11">
        <f t="shared" si="38"/>
        <v>1300</v>
      </c>
      <c r="N541" t="str">
        <f t="shared" si="39"/>
        <v>Nov</v>
      </c>
      <c r="O541">
        <f t="shared" si="40"/>
        <v>4</v>
      </c>
      <c r="P541">
        <f>VLOOKUP(F541,Products!A:C,3,FALSE)</f>
        <v>403</v>
      </c>
      <c r="Q541" s="12">
        <f t="shared" si="41"/>
        <v>494</v>
      </c>
    </row>
    <row r="542" ht="15">
      <c r="A542" s="7" t="s">
        <v>634</v>
      </c>
      <c r="B542" s="8">
        <v>45988</v>
      </c>
      <c r="C542" s="7" t="s">
        <v>40</v>
      </c>
      <c r="D542" s="7" t="s">
        <v>80</v>
      </c>
      <c r="E542" s="7" t="s">
        <v>34</v>
      </c>
      <c r="F542" s="7" t="s">
        <v>86</v>
      </c>
      <c r="G542" s="7">
        <v>33</v>
      </c>
      <c r="H542" s="9">
        <v>210</v>
      </c>
      <c r="I542" s="10">
        <v>0</v>
      </c>
      <c r="J542" s="7" t="s">
        <v>93</v>
      </c>
      <c r="K542" s="7" t="s">
        <v>65</v>
      </c>
      <c r="L542" s="7" t="s">
        <v>66</v>
      </c>
      <c r="M542" s="11">
        <f t="shared" si="38"/>
        <v>6930</v>
      </c>
      <c r="N542" t="str">
        <f t="shared" si="39"/>
        <v>Nov</v>
      </c>
      <c r="O542">
        <f t="shared" si="40"/>
        <v>4</v>
      </c>
      <c r="P542">
        <f>VLOOKUP(F542,Products!A:C,3,FALSE)</f>
        <v>130</v>
      </c>
      <c r="Q542" s="12">
        <f t="shared" si="41"/>
        <v>2640</v>
      </c>
    </row>
    <row r="543" ht="15">
      <c r="A543" s="7" t="s">
        <v>635</v>
      </c>
      <c r="B543" s="8">
        <v>45989</v>
      </c>
      <c r="C543" s="7" t="s">
        <v>40</v>
      </c>
      <c r="D543" s="7" t="s">
        <v>80</v>
      </c>
      <c r="E543" s="7" t="s">
        <v>19</v>
      </c>
      <c r="F543" s="7" t="s">
        <v>77</v>
      </c>
      <c r="G543" s="7">
        <v>4</v>
      </c>
      <c r="H543" s="9">
        <v>520</v>
      </c>
      <c r="I543" s="10">
        <v>0.14999999999999999</v>
      </c>
      <c r="J543" s="7" t="s">
        <v>93</v>
      </c>
      <c r="K543" s="7" t="s">
        <v>65</v>
      </c>
      <c r="L543" s="7" t="s">
        <v>74</v>
      </c>
      <c r="M543" s="11">
        <f t="shared" si="38"/>
        <v>1768</v>
      </c>
      <c r="N543" t="str">
        <f t="shared" si="39"/>
        <v>Nov</v>
      </c>
      <c r="O543">
        <f t="shared" si="40"/>
        <v>4</v>
      </c>
      <c r="P543">
        <f>VLOOKUP(F543,Products!A:C,3,FALSE)</f>
        <v>322</v>
      </c>
      <c r="Q543" s="12">
        <f t="shared" si="41"/>
        <v>480</v>
      </c>
    </row>
    <row r="544" ht="15">
      <c r="A544" s="7" t="s">
        <v>636</v>
      </c>
      <c r="B544" s="8">
        <v>45989</v>
      </c>
      <c r="C544" s="7" t="s">
        <v>36</v>
      </c>
      <c r="D544" s="7" t="s">
        <v>76</v>
      </c>
      <c r="E544" s="7" t="s">
        <v>29</v>
      </c>
      <c r="F544" s="7" t="s">
        <v>21</v>
      </c>
      <c r="G544" s="7">
        <v>3</v>
      </c>
      <c r="H544" s="9">
        <v>3600</v>
      </c>
      <c r="I544" s="10">
        <v>5.0000000000000003e-002</v>
      </c>
      <c r="J544" s="7" t="s">
        <v>70</v>
      </c>
      <c r="K544" s="7" t="s">
        <v>71</v>
      </c>
      <c r="L544" s="7" t="s">
        <v>78</v>
      </c>
      <c r="M544" s="11">
        <f t="shared" si="38"/>
        <v>10260</v>
      </c>
      <c r="N544" t="str">
        <f t="shared" si="39"/>
        <v>Nov</v>
      </c>
      <c r="O544">
        <f t="shared" si="40"/>
        <v>4</v>
      </c>
      <c r="P544">
        <f>VLOOKUP(F544,Products!A:C,3,FALSE)</f>
        <v>2232</v>
      </c>
      <c r="Q544" s="12">
        <f t="shared" si="41"/>
        <v>3564</v>
      </c>
    </row>
    <row r="545" ht="15">
      <c r="A545" s="7" t="s">
        <v>637</v>
      </c>
      <c r="B545" s="8">
        <v>45990</v>
      </c>
      <c r="C545" s="7" t="s">
        <v>40</v>
      </c>
      <c r="D545" s="7" t="s">
        <v>85</v>
      </c>
      <c r="E545" s="7" t="s">
        <v>19</v>
      </c>
      <c r="F545" s="7" t="s">
        <v>73</v>
      </c>
      <c r="G545" s="7">
        <v>1</v>
      </c>
      <c r="H545" s="9">
        <v>650</v>
      </c>
      <c r="I545" s="10">
        <v>0.10000000000000001</v>
      </c>
      <c r="J545" s="7" t="s">
        <v>64</v>
      </c>
      <c r="K545" s="7" t="s">
        <v>71</v>
      </c>
      <c r="L545" s="7" t="s">
        <v>66</v>
      </c>
      <c r="M545" s="11">
        <f t="shared" si="38"/>
        <v>585</v>
      </c>
      <c r="N545" t="str">
        <f t="shared" si="39"/>
        <v>Nov</v>
      </c>
      <c r="O545">
        <f t="shared" si="40"/>
        <v>4</v>
      </c>
      <c r="P545">
        <f>VLOOKUP(F545,Products!A:C,3,FALSE)</f>
        <v>403</v>
      </c>
      <c r="Q545" s="12">
        <f t="shared" si="41"/>
        <v>182</v>
      </c>
    </row>
    <row r="546" ht="15">
      <c r="A546" s="7" t="s">
        <v>638</v>
      </c>
      <c r="B546" s="8">
        <v>45990</v>
      </c>
      <c r="C546" s="7" t="s">
        <v>40</v>
      </c>
      <c r="D546" s="7" t="s">
        <v>98</v>
      </c>
      <c r="E546" s="7" t="s">
        <v>24</v>
      </c>
      <c r="F546" s="7" t="s">
        <v>38</v>
      </c>
      <c r="G546" s="7">
        <v>2</v>
      </c>
      <c r="H546" s="9">
        <v>12500</v>
      </c>
      <c r="I546" s="10">
        <v>0</v>
      </c>
      <c r="J546" s="7" t="s">
        <v>103</v>
      </c>
      <c r="K546" s="7" t="s">
        <v>71</v>
      </c>
      <c r="L546" s="7" t="s">
        <v>66</v>
      </c>
      <c r="M546" s="11">
        <f t="shared" si="38"/>
        <v>25000</v>
      </c>
      <c r="N546" t="str">
        <f t="shared" si="39"/>
        <v>Nov</v>
      </c>
      <c r="O546">
        <f t="shared" si="40"/>
        <v>4</v>
      </c>
      <c r="P546">
        <f>VLOOKUP(F546,Products!A:C,3,FALSE)</f>
        <v>7750</v>
      </c>
      <c r="Q546" s="12">
        <f t="shared" si="41"/>
        <v>9500</v>
      </c>
    </row>
    <row r="547" ht="15">
      <c r="A547" s="7" t="s">
        <v>639</v>
      </c>
      <c r="B547" s="8">
        <v>45991</v>
      </c>
      <c r="C547" s="7" t="s">
        <v>33</v>
      </c>
      <c r="D547" s="7" t="s">
        <v>102</v>
      </c>
      <c r="E547" s="7" t="s">
        <v>34</v>
      </c>
      <c r="F547" s="7" t="s">
        <v>69</v>
      </c>
      <c r="G547" s="7">
        <v>11</v>
      </c>
      <c r="H547" s="9">
        <v>120</v>
      </c>
      <c r="I547" s="10">
        <v>0</v>
      </c>
      <c r="J547" s="7" t="s">
        <v>70</v>
      </c>
      <c r="K547" s="7" t="s">
        <v>65</v>
      </c>
      <c r="L547" s="7" t="s">
        <v>74</v>
      </c>
      <c r="M547" s="11">
        <f t="shared" si="38"/>
        <v>1320</v>
      </c>
      <c r="N547" t="str">
        <f t="shared" si="39"/>
        <v>Nov</v>
      </c>
      <c r="O547">
        <f t="shared" si="40"/>
        <v>4</v>
      </c>
      <c r="P547">
        <f>VLOOKUP(F547,Products!A:C,3,FALSE)</f>
        <v>74</v>
      </c>
      <c r="Q547" s="12">
        <f t="shared" si="41"/>
        <v>506</v>
      </c>
    </row>
    <row r="548" ht="15">
      <c r="A548" s="7" t="s">
        <v>640</v>
      </c>
      <c r="B548" s="8">
        <v>45991</v>
      </c>
      <c r="C548" s="7" t="s">
        <v>40</v>
      </c>
      <c r="D548" s="7" t="s">
        <v>80</v>
      </c>
      <c r="E548" s="7" t="s">
        <v>24</v>
      </c>
      <c r="F548" s="7" t="s">
        <v>26</v>
      </c>
      <c r="G548" s="7">
        <v>2</v>
      </c>
      <c r="H548" s="9">
        <v>3100</v>
      </c>
      <c r="I548" s="10">
        <v>0</v>
      </c>
      <c r="J548" s="7" t="s">
        <v>93</v>
      </c>
      <c r="K548" s="7" t="s">
        <v>71</v>
      </c>
      <c r="L548" s="7" t="s">
        <v>78</v>
      </c>
      <c r="M548" s="11">
        <f t="shared" ref="M548:M601" si="42">G548*H548*(1-I548)</f>
        <v>6200</v>
      </c>
      <c r="N548" t="str">
        <f t="shared" ref="N548:N601" si="43">TEXT(B548,"mmm")</f>
        <v>Nov</v>
      </c>
      <c r="O548">
        <f t="shared" ref="O548:O601" si="44">ROUNDUP(MONTH(B548)/3,0)</f>
        <v>4</v>
      </c>
      <c r="P548">
        <f>VLOOKUP(F548,Products!A:C,3,FALSE)</f>
        <v>1922</v>
      </c>
      <c r="Q548" s="12">
        <f t="shared" ref="Q548:Q601" si="45">M548-(G548*P548)</f>
        <v>2356</v>
      </c>
    </row>
    <row r="549" ht="15">
      <c r="A549" s="7" t="s">
        <v>641</v>
      </c>
      <c r="B549" s="8">
        <v>45991</v>
      </c>
      <c r="C549" s="7" t="s">
        <v>33</v>
      </c>
      <c r="D549" s="7" t="s">
        <v>102</v>
      </c>
      <c r="E549" s="7" t="s">
        <v>34</v>
      </c>
      <c r="F549" s="7" t="s">
        <v>92</v>
      </c>
      <c r="G549" s="7">
        <v>9</v>
      </c>
      <c r="H549" s="9">
        <v>85</v>
      </c>
      <c r="I549" s="10">
        <v>0.14999999999999999</v>
      </c>
      <c r="J549" s="7" t="s">
        <v>93</v>
      </c>
      <c r="K549" s="7" t="s">
        <v>71</v>
      </c>
      <c r="L549" s="7" t="s">
        <v>74</v>
      </c>
      <c r="M549" s="11">
        <f t="shared" si="42"/>
        <v>650.25</v>
      </c>
      <c r="N549" t="str">
        <f t="shared" si="43"/>
        <v>Nov</v>
      </c>
      <c r="O549">
        <f t="shared" si="44"/>
        <v>4</v>
      </c>
      <c r="P549">
        <f>VLOOKUP(F549,Products!A:C,3,FALSE)</f>
        <v>53</v>
      </c>
      <c r="Q549" s="12">
        <f t="shared" si="45"/>
        <v>173.25</v>
      </c>
    </row>
    <row r="550" ht="15">
      <c r="A550" s="7" t="s">
        <v>642</v>
      </c>
      <c r="B550" s="8">
        <v>45991</v>
      </c>
      <c r="C550" s="7" t="s">
        <v>23</v>
      </c>
      <c r="D550" s="7" t="s">
        <v>95</v>
      </c>
      <c r="E550" s="7" t="s">
        <v>29</v>
      </c>
      <c r="F550" s="7" t="s">
        <v>81</v>
      </c>
      <c r="G550" s="7">
        <v>3</v>
      </c>
      <c r="H550" s="9">
        <v>1900</v>
      </c>
      <c r="I550" s="10">
        <v>0</v>
      </c>
      <c r="J550" s="7" t="s">
        <v>89</v>
      </c>
      <c r="K550" s="7" t="s">
        <v>71</v>
      </c>
      <c r="L550" s="7" t="s">
        <v>90</v>
      </c>
      <c r="M550" s="11">
        <f t="shared" si="42"/>
        <v>5700</v>
      </c>
      <c r="N550" t="str">
        <f t="shared" si="43"/>
        <v>Nov</v>
      </c>
      <c r="O550">
        <f t="shared" si="44"/>
        <v>4</v>
      </c>
      <c r="P550">
        <f>VLOOKUP(F550,Products!A:C,3,FALSE)</f>
        <v>1178</v>
      </c>
      <c r="Q550" s="12">
        <f t="shared" si="45"/>
        <v>2166</v>
      </c>
    </row>
    <row r="551" ht="15">
      <c r="A551" s="7" t="s">
        <v>643</v>
      </c>
      <c r="B551" s="8">
        <v>45992</v>
      </c>
      <c r="C551" s="7" t="s">
        <v>23</v>
      </c>
      <c r="D551" s="7" t="s">
        <v>105</v>
      </c>
      <c r="E551" s="7" t="s">
        <v>24</v>
      </c>
      <c r="F551" s="7" t="s">
        <v>35</v>
      </c>
      <c r="G551" s="7">
        <v>3</v>
      </c>
      <c r="H551" s="9">
        <v>8200</v>
      </c>
      <c r="I551" s="10">
        <v>5.0000000000000003e-002</v>
      </c>
      <c r="J551" s="7" t="s">
        <v>70</v>
      </c>
      <c r="K551" s="7" t="s">
        <v>71</v>
      </c>
      <c r="L551" s="7" t="s">
        <v>78</v>
      </c>
      <c r="M551" s="11">
        <f t="shared" si="42"/>
        <v>23370</v>
      </c>
      <c r="N551" t="str">
        <f t="shared" si="43"/>
        <v>Dec</v>
      </c>
      <c r="O551">
        <f t="shared" si="44"/>
        <v>4</v>
      </c>
      <c r="P551">
        <f>VLOOKUP(F551,Products!A:C,3,FALSE)</f>
        <v>5084</v>
      </c>
      <c r="Q551" s="12">
        <f t="shared" si="45"/>
        <v>8118</v>
      </c>
    </row>
    <row r="552" ht="15">
      <c r="A552" s="7" t="s">
        <v>644</v>
      </c>
      <c r="B552" s="8">
        <v>45993</v>
      </c>
      <c r="C552" s="7" t="s">
        <v>23</v>
      </c>
      <c r="D552" s="7" t="s">
        <v>95</v>
      </c>
      <c r="E552" s="7" t="s">
        <v>19</v>
      </c>
      <c r="F552" s="7" t="s">
        <v>77</v>
      </c>
      <c r="G552" s="7">
        <v>4</v>
      </c>
      <c r="H552" s="9">
        <v>520</v>
      </c>
      <c r="I552" s="10">
        <v>0</v>
      </c>
      <c r="J552" s="7" t="s">
        <v>93</v>
      </c>
      <c r="K552" s="7" t="s">
        <v>65</v>
      </c>
      <c r="L552" s="7" t="s">
        <v>66</v>
      </c>
      <c r="M552" s="11">
        <f t="shared" si="42"/>
        <v>2080</v>
      </c>
      <c r="N552" t="str">
        <f t="shared" si="43"/>
        <v>Dec</v>
      </c>
      <c r="O552">
        <f t="shared" si="44"/>
        <v>4</v>
      </c>
      <c r="P552">
        <f>VLOOKUP(F552,Products!A:C,3,FALSE)</f>
        <v>322</v>
      </c>
      <c r="Q552" s="12">
        <f t="shared" si="45"/>
        <v>792</v>
      </c>
    </row>
    <row r="553" ht="15">
      <c r="A553" s="7" t="s">
        <v>645</v>
      </c>
      <c r="B553" s="8">
        <v>45995</v>
      </c>
      <c r="C553" s="7" t="s">
        <v>33</v>
      </c>
      <c r="D553" s="7" t="s">
        <v>68</v>
      </c>
      <c r="E553" s="7" t="s">
        <v>34</v>
      </c>
      <c r="F553" s="7" t="s">
        <v>69</v>
      </c>
      <c r="G553" s="7">
        <v>37</v>
      </c>
      <c r="H553" s="9">
        <v>120</v>
      </c>
      <c r="I553" s="10">
        <v>0.14999999999999999</v>
      </c>
      <c r="J553" s="7" t="s">
        <v>64</v>
      </c>
      <c r="K553" s="7" t="s">
        <v>65</v>
      </c>
      <c r="L553" s="7" t="s">
        <v>90</v>
      </c>
      <c r="M553" s="11">
        <f t="shared" si="42"/>
        <v>3774</v>
      </c>
      <c r="N553" t="str">
        <f t="shared" si="43"/>
        <v>Dec</v>
      </c>
      <c r="O553">
        <f t="shared" si="44"/>
        <v>4</v>
      </c>
      <c r="P553">
        <f>VLOOKUP(F553,Products!A:C,3,FALSE)</f>
        <v>74</v>
      </c>
      <c r="Q553" s="12">
        <f t="shared" si="45"/>
        <v>1036</v>
      </c>
    </row>
    <row r="554" ht="15">
      <c r="A554" s="7" t="s">
        <v>646</v>
      </c>
      <c r="B554" s="8">
        <v>45995</v>
      </c>
      <c r="C554" s="7" t="s">
        <v>36</v>
      </c>
      <c r="D554" s="7" t="s">
        <v>114</v>
      </c>
      <c r="E554" s="7" t="s">
        <v>29</v>
      </c>
      <c r="F554" s="7" t="s">
        <v>81</v>
      </c>
      <c r="G554" s="7">
        <v>2</v>
      </c>
      <c r="H554" s="9">
        <v>1900</v>
      </c>
      <c r="I554" s="10">
        <v>5.0000000000000003e-002</v>
      </c>
      <c r="J554" s="7" t="s">
        <v>93</v>
      </c>
      <c r="K554" s="7" t="s">
        <v>71</v>
      </c>
      <c r="L554" s="7" t="s">
        <v>74</v>
      </c>
      <c r="M554" s="11">
        <f t="shared" si="42"/>
        <v>3610</v>
      </c>
      <c r="N554" t="str">
        <f t="shared" si="43"/>
        <v>Dec</v>
      </c>
      <c r="O554">
        <f t="shared" si="44"/>
        <v>4</v>
      </c>
      <c r="P554">
        <f>VLOOKUP(F554,Products!A:C,3,FALSE)</f>
        <v>1178</v>
      </c>
      <c r="Q554" s="12">
        <f t="shared" si="45"/>
        <v>1254</v>
      </c>
    </row>
    <row r="555" ht="15">
      <c r="A555" s="7" t="s">
        <v>647</v>
      </c>
      <c r="B555" s="8">
        <v>45995</v>
      </c>
      <c r="C555" s="7" t="s">
        <v>40</v>
      </c>
      <c r="D555" s="7" t="s">
        <v>85</v>
      </c>
      <c r="E555" s="7" t="s">
        <v>24</v>
      </c>
      <c r="F555" s="7" t="s">
        <v>31</v>
      </c>
      <c r="G555" s="7">
        <v>1</v>
      </c>
      <c r="H555" s="9">
        <v>5400</v>
      </c>
      <c r="I555" s="10">
        <v>0.10000000000000001</v>
      </c>
      <c r="J555" s="7" t="s">
        <v>70</v>
      </c>
      <c r="K555" s="7" t="s">
        <v>65</v>
      </c>
      <c r="L555" s="7" t="s">
        <v>90</v>
      </c>
      <c r="M555" s="11">
        <f t="shared" si="42"/>
        <v>4860</v>
      </c>
      <c r="N555" t="str">
        <f t="shared" si="43"/>
        <v>Dec</v>
      </c>
      <c r="O555">
        <f t="shared" si="44"/>
        <v>4</v>
      </c>
      <c r="P555">
        <f>VLOOKUP(F555,Products!A:C,3,FALSE)</f>
        <v>3348</v>
      </c>
      <c r="Q555" s="12">
        <f t="shared" si="45"/>
        <v>1512</v>
      </c>
    </row>
    <row r="556" ht="15">
      <c r="A556" s="7" t="s">
        <v>648</v>
      </c>
      <c r="B556" s="8">
        <v>45996</v>
      </c>
      <c r="C556" s="7" t="s">
        <v>33</v>
      </c>
      <c r="D556" s="7" t="s">
        <v>102</v>
      </c>
      <c r="E556" s="7" t="s">
        <v>34</v>
      </c>
      <c r="F556" s="7" t="s">
        <v>69</v>
      </c>
      <c r="G556" s="7">
        <v>13</v>
      </c>
      <c r="H556" s="9">
        <v>120</v>
      </c>
      <c r="I556" s="10">
        <v>5.0000000000000003e-002</v>
      </c>
      <c r="J556" s="7" t="s">
        <v>83</v>
      </c>
      <c r="K556" s="7" t="s">
        <v>65</v>
      </c>
      <c r="L556" s="7" t="s">
        <v>90</v>
      </c>
      <c r="M556" s="11">
        <f t="shared" si="42"/>
        <v>1482</v>
      </c>
      <c r="N556" t="str">
        <f t="shared" si="43"/>
        <v>Dec</v>
      </c>
      <c r="O556">
        <f t="shared" si="44"/>
        <v>4</v>
      </c>
      <c r="P556">
        <f>VLOOKUP(F556,Products!A:C,3,FALSE)</f>
        <v>74</v>
      </c>
      <c r="Q556" s="12">
        <f t="shared" si="45"/>
        <v>520</v>
      </c>
    </row>
    <row r="557" ht="15">
      <c r="A557" s="7" t="s">
        <v>649</v>
      </c>
      <c r="B557" s="8">
        <v>45997</v>
      </c>
      <c r="C557" s="7" t="s">
        <v>33</v>
      </c>
      <c r="D557" s="7" t="s">
        <v>102</v>
      </c>
      <c r="E557" s="7" t="s">
        <v>34</v>
      </c>
      <c r="F557" s="7" t="s">
        <v>86</v>
      </c>
      <c r="G557" s="7">
        <v>20</v>
      </c>
      <c r="H557" s="9">
        <v>210</v>
      </c>
      <c r="I557" s="10">
        <v>0</v>
      </c>
      <c r="J557" s="7" t="s">
        <v>93</v>
      </c>
      <c r="K557" s="7" t="s">
        <v>71</v>
      </c>
      <c r="L557" s="7" t="s">
        <v>66</v>
      </c>
      <c r="M557" s="11">
        <f t="shared" si="42"/>
        <v>4200</v>
      </c>
      <c r="N557" t="str">
        <f t="shared" si="43"/>
        <v>Dec</v>
      </c>
      <c r="O557">
        <f t="shared" si="44"/>
        <v>4</v>
      </c>
      <c r="P557">
        <f>VLOOKUP(F557,Products!A:C,3,FALSE)</f>
        <v>130</v>
      </c>
      <c r="Q557" s="12">
        <f t="shared" si="45"/>
        <v>1600</v>
      </c>
    </row>
    <row r="558" ht="15">
      <c r="A558" s="7" t="s">
        <v>650</v>
      </c>
      <c r="B558" s="8">
        <v>45997</v>
      </c>
      <c r="C558" s="7" t="s">
        <v>18</v>
      </c>
      <c r="D558" s="7" t="s">
        <v>63</v>
      </c>
      <c r="E558" s="7" t="s">
        <v>34</v>
      </c>
      <c r="F558" s="7" t="s">
        <v>86</v>
      </c>
      <c r="G558" s="7">
        <v>12</v>
      </c>
      <c r="H558" s="9">
        <v>210</v>
      </c>
      <c r="I558" s="10">
        <v>0.14999999999999999</v>
      </c>
      <c r="J558" s="7" t="s">
        <v>70</v>
      </c>
      <c r="K558" s="7" t="s">
        <v>65</v>
      </c>
      <c r="L558" s="7" t="s">
        <v>66</v>
      </c>
      <c r="M558" s="11">
        <f t="shared" si="42"/>
        <v>2142</v>
      </c>
      <c r="N558" t="str">
        <f t="shared" si="43"/>
        <v>Dec</v>
      </c>
      <c r="O558">
        <f t="shared" si="44"/>
        <v>4</v>
      </c>
      <c r="P558">
        <f>VLOOKUP(F558,Products!A:C,3,FALSE)</f>
        <v>130</v>
      </c>
      <c r="Q558" s="12">
        <f t="shared" si="45"/>
        <v>582</v>
      </c>
    </row>
    <row r="559" ht="15">
      <c r="A559" s="7" t="s">
        <v>651</v>
      </c>
      <c r="B559" s="8">
        <v>45997</v>
      </c>
      <c r="C559" s="7" t="s">
        <v>40</v>
      </c>
      <c r="D559" s="7" t="s">
        <v>80</v>
      </c>
      <c r="E559" s="7" t="s">
        <v>24</v>
      </c>
      <c r="F559" s="7" t="s">
        <v>96</v>
      </c>
      <c r="G559" s="7">
        <v>1</v>
      </c>
      <c r="H559" s="9">
        <v>1450</v>
      </c>
      <c r="I559" s="10">
        <v>0</v>
      </c>
      <c r="J559" s="7" t="s">
        <v>64</v>
      </c>
      <c r="K559" s="7" t="s">
        <v>71</v>
      </c>
      <c r="L559" s="7" t="s">
        <v>90</v>
      </c>
      <c r="M559" s="11">
        <f t="shared" si="42"/>
        <v>1450</v>
      </c>
      <c r="N559" t="str">
        <f t="shared" si="43"/>
        <v>Dec</v>
      </c>
      <c r="O559">
        <f t="shared" si="44"/>
        <v>4</v>
      </c>
      <c r="P559">
        <f>VLOOKUP(F559,Products!A:C,3,FALSE)</f>
        <v>899</v>
      </c>
      <c r="Q559" s="12">
        <f t="shared" si="45"/>
        <v>551</v>
      </c>
    </row>
    <row r="560" ht="15">
      <c r="A560" s="7" t="s">
        <v>652</v>
      </c>
      <c r="B560" s="8">
        <v>45997</v>
      </c>
      <c r="C560" s="7" t="s">
        <v>40</v>
      </c>
      <c r="D560" s="7" t="s">
        <v>98</v>
      </c>
      <c r="E560" s="7" t="s">
        <v>34</v>
      </c>
      <c r="F560" s="7" t="s">
        <v>92</v>
      </c>
      <c r="G560" s="7">
        <v>19</v>
      </c>
      <c r="H560" s="9">
        <v>85</v>
      </c>
      <c r="I560" s="10">
        <v>0</v>
      </c>
      <c r="J560" s="7" t="s">
        <v>89</v>
      </c>
      <c r="K560" s="7" t="s">
        <v>65</v>
      </c>
      <c r="L560" s="7" t="s">
        <v>78</v>
      </c>
      <c r="M560" s="11">
        <f t="shared" si="42"/>
        <v>1615</v>
      </c>
      <c r="N560" t="str">
        <f t="shared" si="43"/>
        <v>Dec</v>
      </c>
      <c r="O560">
        <f t="shared" si="44"/>
        <v>4</v>
      </c>
      <c r="P560">
        <f>VLOOKUP(F560,Products!A:C,3,FALSE)</f>
        <v>53</v>
      </c>
      <c r="Q560" s="12">
        <f t="shared" si="45"/>
        <v>608</v>
      </c>
    </row>
    <row r="561" ht="15">
      <c r="A561" s="7" t="s">
        <v>653</v>
      </c>
      <c r="B561" s="8">
        <v>45999</v>
      </c>
      <c r="C561" s="7" t="s">
        <v>36</v>
      </c>
      <c r="D561" s="7" t="s">
        <v>114</v>
      </c>
      <c r="E561" s="7" t="s">
        <v>24</v>
      </c>
      <c r="F561" s="7" t="s">
        <v>35</v>
      </c>
      <c r="G561" s="7">
        <v>2</v>
      </c>
      <c r="H561" s="9">
        <v>8200</v>
      </c>
      <c r="I561" s="10">
        <v>0</v>
      </c>
      <c r="J561" s="7" t="s">
        <v>103</v>
      </c>
      <c r="K561" s="7" t="s">
        <v>65</v>
      </c>
      <c r="L561" s="7" t="s">
        <v>78</v>
      </c>
      <c r="M561" s="11">
        <f t="shared" si="42"/>
        <v>16400</v>
      </c>
      <c r="N561" t="str">
        <f t="shared" si="43"/>
        <v>Dec</v>
      </c>
      <c r="O561">
        <f t="shared" si="44"/>
        <v>4</v>
      </c>
      <c r="P561">
        <f>VLOOKUP(F561,Products!A:C,3,FALSE)</f>
        <v>5084</v>
      </c>
      <c r="Q561" s="12">
        <f t="shared" si="45"/>
        <v>6232</v>
      </c>
    </row>
    <row r="562" ht="15">
      <c r="A562" s="7" t="s">
        <v>654</v>
      </c>
      <c r="B562" s="8">
        <v>45999</v>
      </c>
      <c r="C562" s="7" t="s">
        <v>33</v>
      </c>
      <c r="D562" s="7" t="s">
        <v>102</v>
      </c>
      <c r="E562" s="7" t="s">
        <v>24</v>
      </c>
      <c r="F562" s="7" t="s">
        <v>26</v>
      </c>
      <c r="G562" s="7">
        <v>3</v>
      </c>
      <c r="H562" s="9">
        <v>3100</v>
      </c>
      <c r="I562" s="10">
        <v>0</v>
      </c>
      <c r="J562" s="7" t="s">
        <v>89</v>
      </c>
      <c r="K562" s="7" t="s">
        <v>65</v>
      </c>
      <c r="L562" s="7" t="s">
        <v>74</v>
      </c>
      <c r="M562" s="11">
        <f t="shared" si="42"/>
        <v>9300</v>
      </c>
      <c r="N562" t="str">
        <f t="shared" si="43"/>
        <v>Dec</v>
      </c>
      <c r="O562">
        <f t="shared" si="44"/>
        <v>4</v>
      </c>
      <c r="P562">
        <f>VLOOKUP(F562,Products!A:C,3,FALSE)</f>
        <v>1922</v>
      </c>
      <c r="Q562" s="12">
        <f t="shared" si="45"/>
        <v>3534</v>
      </c>
    </row>
    <row r="563" ht="15">
      <c r="A563" s="7" t="s">
        <v>655</v>
      </c>
      <c r="B563" s="8">
        <v>46000</v>
      </c>
      <c r="C563" s="7" t="s">
        <v>33</v>
      </c>
      <c r="D563" s="7" t="s">
        <v>68</v>
      </c>
      <c r="E563" s="7" t="s">
        <v>34</v>
      </c>
      <c r="F563" s="7" t="s">
        <v>69</v>
      </c>
      <c r="G563" s="7">
        <v>40</v>
      </c>
      <c r="H563" s="9">
        <v>120</v>
      </c>
      <c r="I563" s="10">
        <v>5.0000000000000003e-002</v>
      </c>
      <c r="J563" s="7" t="s">
        <v>83</v>
      </c>
      <c r="K563" s="7" t="s">
        <v>71</v>
      </c>
      <c r="L563" s="7" t="s">
        <v>74</v>
      </c>
      <c r="M563" s="11">
        <f t="shared" si="42"/>
        <v>4560</v>
      </c>
      <c r="N563" t="str">
        <f t="shared" si="43"/>
        <v>Dec</v>
      </c>
      <c r="O563">
        <f t="shared" si="44"/>
        <v>4</v>
      </c>
      <c r="P563">
        <f>VLOOKUP(F563,Products!A:C,3,FALSE)</f>
        <v>74</v>
      </c>
      <c r="Q563" s="12">
        <f t="shared" si="45"/>
        <v>1600</v>
      </c>
    </row>
    <row r="564" ht="15">
      <c r="A564" s="7" t="s">
        <v>656</v>
      </c>
      <c r="B564" s="8">
        <v>46000</v>
      </c>
      <c r="C564" s="7" t="s">
        <v>36</v>
      </c>
      <c r="D564" s="7" t="s">
        <v>114</v>
      </c>
      <c r="E564" s="7" t="s">
        <v>19</v>
      </c>
      <c r="F564" s="7" t="s">
        <v>73</v>
      </c>
      <c r="G564" s="7">
        <v>4</v>
      </c>
      <c r="H564" s="9">
        <v>650</v>
      </c>
      <c r="I564" s="10">
        <v>0.10000000000000001</v>
      </c>
      <c r="J564" s="7" t="s">
        <v>89</v>
      </c>
      <c r="K564" s="7" t="s">
        <v>65</v>
      </c>
      <c r="L564" s="7" t="s">
        <v>66</v>
      </c>
      <c r="M564" s="11">
        <f t="shared" si="42"/>
        <v>2340</v>
      </c>
      <c r="N564" t="str">
        <f t="shared" si="43"/>
        <v>Dec</v>
      </c>
      <c r="O564">
        <f t="shared" si="44"/>
        <v>4</v>
      </c>
      <c r="P564">
        <f>VLOOKUP(F564,Products!A:C,3,FALSE)</f>
        <v>403</v>
      </c>
      <c r="Q564" s="12">
        <f t="shared" si="45"/>
        <v>728</v>
      </c>
    </row>
    <row r="565" ht="15">
      <c r="A565" s="7" t="s">
        <v>657</v>
      </c>
      <c r="B565" s="8">
        <v>46000</v>
      </c>
      <c r="C565" s="7" t="s">
        <v>40</v>
      </c>
      <c r="D565" s="7" t="s">
        <v>98</v>
      </c>
      <c r="E565" s="7" t="s">
        <v>24</v>
      </c>
      <c r="F565" s="7" t="s">
        <v>31</v>
      </c>
      <c r="G565" s="7">
        <v>3</v>
      </c>
      <c r="H565" s="9">
        <v>5400</v>
      </c>
      <c r="I565" s="10">
        <v>0</v>
      </c>
      <c r="J565" s="7" t="s">
        <v>70</v>
      </c>
      <c r="K565" s="7" t="s">
        <v>71</v>
      </c>
      <c r="L565" s="7" t="s">
        <v>78</v>
      </c>
      <c r="M565" s="11">
        <f t="shared" si="42"/>
        <v>16200</v>
      </c>
      <c r="N565" t="str">
        <f t="shared" si="43"/>
        <v>Dec</v>
      </c>
      <c r="O565">
        <f t="shared" si="44"/>
        <v>4</v>
      </c>
      <c r="P565">
        <f>VLOOKUP(F565,Products!A:C,3,FALSE)</f>
        <v>3348</v>
      </c>
      <c r="Q565" s="12">
        <f t="shared" si="45"/>
        <v>6156</v>
      </c>
    </row>
    <row r="566" ht="15">
      <c r="A566" s="7" t="s">
        <v>658</v>
      </c>
      <c r="B566" s="8">
        <v>46001</v>
      </c>
      <c r="C566" s="7" t="s">
        <v>33</v>
      </c>
      <c r="D566" s="7" t="s">
        <v>68</v>
      </c>
      <c r="E566" s="7" t="s">
        <v>24</v>
      </c>
      <c r="F566" s="7" t="s">
        <v>35</v>
      </c>
      <c r="G566" s="7">
        <v>3</v>
      </c>
      <c r="H566" s="9">
        <v>8200</v>
      </c>
      <c r="I566" s="10">
        <v>0</v>
      </c>
      <c r="J566" s="7" t="s">
        <v>103</v>
      </c>
      <c r="K566" s="7" t="s">
        <v>65</v>
      </c>
      <c r="L566" s="7" t="s">
        <v>90</v>
      </c>
      <c r="M566" s="11">
        <f t="shared" si="42"/>
        <v>24600</v>
      </c>
      <c r="N566" t="str">
        <f t="shared" si="43"/>
        <v>Dec</v>
      </c>
      <c r="O566">
        <f t="shared" si="44"/>
        <v>4</v>
      </c>
      <c r="P566">
        <f>VLOOKUP(F566,Products!A:C,3,FALSE)</f>
        <v>5084</v>
      </c>
      <c r="Q566" s="12">
        <f t="shared" si="45"/>
        <v>9348</v>
      </c>
    </row>
    <row r="567" ht="15">
      <c r="A567" s="7" t="s">
        <v>659</v>
      </c>
      <c r="B567" s="8">
        <v>46002</v>
      </c>
      <c r="C567" s="7" t="s">
        <v>28</v>
      </c>
      <c r="D567" s="7" t="s">
        <v>112</v>
      </c>
      <c r="E567" s="7" t="s">
        <v>24</v>
      </c>
      <c r="F567" s="7" t="s">
        <v>96</v>
      </c>
      <c r="G567" s="7">
        <v>3</v>
      </c>
      <c r="H567" s="9">
        <v>1450</v>
      </c>
      <c r="I567" s="10">
        <v>5.0000000000000003e-002</v>
      </c>
      <c r="J567" s="7" t="s">
        <v>83</v>
      </c>
      <c r="K567" s="7" t="s">
        <v>65</v>
      </c>
      <c r="L567" s="7" t="s">
        <v>74</v>
      </c>
      <c r="M567" s="11">
        <f t="shared" si="42"/>
        <v>4132.5</v>
      </c>
      <c r="N567" t="str">
        <f t="shared" si="43"/>
        <v>Dec</v>
      </c>
      <c r="O567">
        <f t="shared" si="44"/>
        <v>4</v>
      </c>
      <c r="P567">
        <f>VLOOKUP(F567,Products!A:C,3,FALSE)</f>
        <v>899</v>
      </c>
      <c r="Q567" s="12">
        <f t="shared" si="45"/>
        <v>1435.5</v>
      </c>
    </row>
    <row r="568" ht="15">
      <c r="A568" s="7" t="s">
        <v>660</v>
      </c>
      <c r="B568" s="8">
        <v>46003</v>
      </c>
      <c r="C568" s="7" t="s">
        <v>33</v>
      </c>
      <c r="D568" s="7" t="s">
        <v>68</v>
      </c>
      <c r="E568" s="7" t="s">
        <v>24</v>
      </c>
      <c r="F568" s="7" t="s">
        <v>96</v>
      </c>
      <c r="G568" s="7">
        <v>1</v>
      </c>
      <c r="H568" s="9">
        <v>1450</v>
      </c>
      <c r="I568" s="10">
        <v>0</v>
      </c>
      <c r="J568" s="7" t="s">
        <v>64</v>
      </c>
      <c r="K568" s="7" t="s">
        <v>71</v>
      </c>
      <c r="L568" s="7" t="s">
        <v>66</v>
      </c>
      <c r="M568" s="11">
        <f t="shared" si="42"/>
        <v>1450</v>
      </c>
      <c r="N568" t="str">
        <f t="shared" si="43"/>
        <v>Dec</v>
      </c>
      <c r="O568">
        <f t="shared" si="44"/>
        <v>4</v>
      </c>
      <c r="P568">
        <f>VLOOKUP(F568,Products!A:C,3,FALSE)</f>
        <v>899</v>
      </c>
      <c r="Q568" s="12">
        <f t="shared" si="45"/>
        <v>551</v>
      </c>
    </row>
    <row r="569" ht="15">
      <c r="A569" s="7" t="s">
        <v>661</v>
      </c>
      <c r="B569" s="8">
        <v>46004</v>
      </c>
      <c r="C569" s="7" t="s">
        <v>33</v>
      </c>
      <c r="D569" s="7" t="s">
        <v>102</v>
      </c>
      <c r="E569" s="7" t="s">
        <v>29</v>
      </c>
      <c r="F569" s="7" t="s">
        <v>120</v>
      </c>
      <c r="G569" s="7">
        <v>1</v>
      </c>
      <c r="H569" s="9">
        <v>2300</v>
      </c>
      <c r="I569" s="10">
        <v>0</v>
      </c>
      <c r="J569" s="7" t="s">
        <v>89</v>
      </c>
      <c r="K569" s="7" t="s">
        <v>65</v>
      </c>
      <c r="L569" s="7" t="s">
        <v>66</v>
      </c>
      <c r="M569" s="11">
        <f t="shared" si="42"/>
        <v>2300</v>
      </c>
      <c r="N569" t="str">
        <f t="shared" si="43"/>
        <v>Dec</v>
      </c>
      <c r="O569">
        <f t="shared" si="44"/>
        <v>4</v>
      </c>
      <c r="P569">
        <f>VLOOKUP(F569,Products!A:C,3,FALSE)</f>
        <v>1426</v>
      </c>
      <c r="Q569" s="12">
        <f t="shared" si="45"/>
        <v>874</v>
      </c>
    </row>
    <row r="570" ht="15">
      <c r="A570" s="7" t="s">
        <v>662</v>
      </c>
      <c r="B570" s="8">
        <v>46004</v>
      </c>
      <c r="C570" s="7" t="s">
        <v>28</v>
      </c>
      <c r="D570" s="7" t="s">
        <v>112</v>
      </c>
      <c r="E570" s="7" t="s">
        <v>24</v>
      </c>
      <c r="F570" s="7" t="s">
        <v>96</v>
      </c>
      <c r="G570" s="7">
        <v>1</v>
      </c>
      <c r="H570" s="9">
        <v>1450</v>
      </c>
      <c r="I570" s="10">
        <v>0.14999999999999999</v>
      </c>
      <c r="J570" s="7" t="s">
        <v>93</v>
      </c>
      <c r="K570" s="7" t="s">
        <v>71</v>
      </c>
      <c r="L570" s="7" t="s">
        <v>78</v>
      </c>
      <c r="M570" s="11">
        <f t="shared" si="42"/>
        <v>1232.5</v>
      </c>
      <c r="N570" t="str">
        <f t="shared" si="43"/>
        <v>Dec</v>
      </c>
      <c r="O570">
        <f t="shared" si="44"/>
        <v>4</v>
      </c>
      <c r="P570">
        <f>VLOOKUP(F570,Products!A:C,3,FALSE)</f>
        <v>899</v>
      </c>
      <c r="Q570" s="12">
        <f t="shared" si="45"/>
        <v>333.5</v>
      </c>
    </row>
    <row r="571" ht="15">
      <c r="A571" s="7" t="s">
        <v>663</v>
      </c>
      <c r="B571" s="8">
        <v>46005</v>
      </c>
      <c r="C571" s="7" t="s">
        <v>28</v>
      </c>
      <c r="D571" s="7" t="s">
        <v>112</v>
      </c>
      <c r="E571" s="7" t="s">
        <v>34</v>
      </c>
      <c r="F571" s="7" t="s">
        <v>69</v>
      </c>
      <c r="G571" s="7">
        <v>14</v>
      </c>
      <c r="H571" s="9">
        <v>120</v>
      </c>
      <c r="I571" s="10">
        <v>0</v>
      </c>
      <c r="J571" s="7" t="s">
        <v>70</v>
      </c>
      <c r="K571" s="7" t="s">
        <v>71</v>
      </c>
      <c r="L571" s="7" t="s">
        <v>78</v>
      </c>
      <c r="M571" s="11">
        <f t="shared" si="42"/>
        <v>1680</v>
      </c>
      <c r="N571" t="str">
        <f t="shared" si="43"/>
        <v>Dec</v>
      </c>
      <c r="O571">
        <f t="shared" si="44"/>
        <v>4</v>
      </c>
      <c r="P571">
        <f>VLOOKUP(F571,Products!A:C,3,FALSE)</f>
        <v>74</v>
      </c>
      <c r="Q571" s="12">
        <f t="shared" si="45"/>
        <v>644</v>
      </c>
    </row>
    <row r="572" ht="15">
      <c r="A572" s="7" t="s">
        <v>664</v>
      </c>
      <c r="B572" s="8">
        <v>46005</v>
      </c>
      <c r="C572" s="7" t="s">
        <v>33</v>
      </c>
      <c r="D572" s="7" t="s">
        <v>102</v>
      </c>
      <c r="E572" s="7" t="s">
        <v>19</v>
      </c>
      <c r="F572" s="7" t="s">
        <v>73</v>
      </c>
      <c r="G572" s="7">
        <v>4</v>
      </c>
      <c r="H572" s="9">
        <v>650</v>
      </c>
      <c r="I572" s="10">
        <v>0</v>
      </c>
      <c r="J572" s="7" t="s">
        <v>83</v>
      </c>
      <c r="K572" s="7" t="s">
        <v>65</v>
      </c>
      <c r="L572" s="7" t="s">
        <v>66</v>
      </c>
      <c r="M572" s="11">
        <f t="shared" si="42"/>
        <v>2600</v>
      </c>
      <c r="N572" t="str">
        <f t="shared" si="43"/>
        <v>Dec</v>
      </c>
      <c r="O572">
        <f t="shared" si="44"/>
        <v>4</v>
      </c>
      <c r="P572">
        <f>VLOOKUP(F572,Products!A:C,3,FALSE)</f>
        <v>403</v>
      </c>
      <c r="Q572" s="12">
        <f t="shared" si="45"/>
        <v>988</v>
      </c>
    </row>
    <row r="573" ht="15">
      <c r="A573" s="7" t="s">
        <v>665</v>
      </c>
      <c r="B573" s="8">
        <v>46006</v>
      </c>
      <c r="C573" s="7" t="s">
        <v>40</v>
      </c>
      <c r="D573" s="7" t="s">
        <v>80</v>
      </c>
      <c r="E573" s="7" t="s">
        <v>34</v>
      </c>
      <c r="F573" s="7" t="s">
        <v>92</v>
      </c>
      <c r="G573" s="7">
        <v>13</v>
      </c>
      <c r="H573" s="9">
        <v>85</v>
      </c>
      <c r="I573" s="10">
        <v>0</v>
      </c>
      <c r="J573" s="7" t="s">
        <v>89</v>
      </c>
      <c r="K573" s="7" t="s">
        <v>65</v>
      </c>
      <c r="L573" s="7" t="s">
        <v>74</v>
      </c>
      <c r="M573" s="11">
        <f t="shared" si="42"/>
        <v>1105</v>
      </c>
      <c r="N573" t="str">
        <f t="shared" si="43"/>
        <v>Dec</v>
      </c>
      <c r="O573">
        <f t="shared" si="44"/>
        <v>4</v>
      </c>
      <c r="P573">
        <f>VLOOKUP(F573,Products!A:C,3,FALSE)</f>
        <v>53</v>
      </c>
      <c r="Q573" s="12">
        <f t="shared" si="45"/>
        <v>416</v>
      </c>
    </row>
    <row r="574" ht="15">
      <c r="A574" s="7" t="s">
        <v>666</v>
      </c>
      <c r="B574" s="8">
        <v>46007</v>
      </c>
      <c r="C574" s="7" t="s">
        <v>40</v>
      </c>
      <c r="D574" s="7" t="s">
        <v>80</v>
      </c>
      <c r="E574" s="7" t="s">
        <v>19</v>
      </c>
      <c r="F574" s="7" t="s">
        <v>77</v>
      </c>
      <c r="G574" s="7">
        <v>2</v>
      </c>
      <c r="H574" s="9">
        <v>520</v>
      </c>
      <c r="I574" s="10">
        <v>5.0000000000000003e-002</v>
      </c>
      <c r="J574" s="7" t="s">
        <v>64</v>
      </c>
      <c r="K574" s="7" t="s">
        <v>71</v>
      </c>
      <c r="L574" s="7" t="s">
        <v>74</v>
      </c>
      <c r="M574" s="11">
        <f t="shared" si="42"/>
        <v>988</v>
      </c>
      <c r="N574" t="str">
        <f t="shared" si="43"/>
        <v>Dec</v>
      </c>
      <c r="O574">
        <f t="shared" si="44"/>
        <v>4</v>
      </c>
      <c r="P574">
        <f>VLOOKUP(F574,Products!A:C,3,FALSE)</f>
        <v>322</v>
      </c>
      <c r="Q574" s="12">
        <f t="shared" si="45"/>
        <v>344</v>
      </c>
    </row>
    <row r="575" ht="15">
      <c r="A575" s="7" t="s">
        <v>667</v>
      </c>
      <c r="B575" s="8">
        <v>46009</v>
      </c>
      <c r="C575" s="7" t="s">
        <v>40</v>
      </c>
      <c r="D575" s="7" t="s">
        <v>80</v>
      </c>
      <c r="E575" s="7" t="s">
        <v>29</v>
      </c>
      <c r="F575" s="7" t="s">
        <v>120</v>
      </c>
      <c r="G575" s="7">
        <v>1</v>
      </c>
      <c r="H575" s="9">
        <v>2300</v>
      </c>
      <c r="I575" s="10">
        <v>0</v>
      </c>
      <c r="J575" s="7" t="s">
        <v>93</v>
      </c>
      <c r="K575" s="7" t="s">
        <v>71</v>
      </c>
      <c r="L575" s="7" t="s">
        <v>74</v>
      </c>
      <c r="M575" s="11">
        <f t="shared" si="42"/>
        <v>2300</v>
      </c>
      <c r="N575" t="str">
        <f t="shared" si="43"/>
        <v>Dec</v>
      </c>
      <c r="O575">
        <f t="shared" si="44"/>
        <v>4</v>
      </c>
      <c r="P575">
        <f>VLOOKUP(F575,Products!A:C,3,FALSE)</f>
        <v>1426</v>
      </c>
      <c r="Q575" s="12">
        <f t="shared" si="45"/>
        <v>874</v>
      </c>
    </row>
    <row r="576" ht="15">
      <c r="A576" s="7" t="s">
        <v>668</v>
      </c>
      <c r="B576" s="8">
        <v>46010</v>
      </c>
      <c r="C576" s="7" t="s">
        <v>40</v>
      </c>
      <c r="D576" s="7" t="s">
        <v>85</v>
      </c>
      <c r="E576" s="7" t="s">
        <v>19</v>
      </c>
      <c r="F576" s="7" t="s">
        <v>73</v>
      </c>
      <c r="G576" s="7">
        <v>4</v>
      </c>
      <c r="H576" s="9">
        <v>650</v>
      </c>
      <c r="I576" s="10">
        <v>5.0000000000000003e-002</v>
      </c>
      <c r="J576" s="7" t="s">
        <v>93</v>
      </c>
      <c r="K576" s="7" t="s">
        <v>65</v>
      </c>
      <c r="L576" s="7" t="s">
        <v>66</v>
      </c>
      <c r="M576" s="11">
        <f t="shared" si="42"/>
        <v>2470</v>
      </c>
      <c r="N576" t="str">
        <f t="shared" si="43"/>
        <v>Dec</v>
      </c>
      <c r="O576">
        <f t="shared" si="44"/>
        <v>4</v>
      </c>
      <c r="P576">
        <f>VLOOKUP(F576,Products!A:C,3,FALSE)</f>
        <v>403</v>
      </c>
      <c r="Q576" s="12">
        <f t="shared" si="45"/>
        <v>858</v>
      </c>
    </row>
    <row r="577" ht="15">
      <c r="A577" s="7" t="s">
        <v>669</v>
      </c>
      <c r="B577" s="8">
        <v>46010</v>
      </c>
      <c r="C577" s="7" t="s">
        <v>23</v>
      </c>
      <c r="D577" s="7" t="s">
        <v>95</v>
      </c>
      <c r="E577" s="7" t="s">
        <v>24</v>
      </c>
      <c r="F577" s="7" t="s">
        <v>31</v>
      </c>
      <c r="G577" s="7">
        <v>2</v>
      </c>
      <c r="H577" s="9">
        <v>5400</v>
      </c>
      <c r="I577" s="10">
        <v>0</v>
      </c>
      <c r="J577" s="7" t="s">
        <v>103</v>
      </c>
      <c r="K577" s="7" t="s">
        <v>71</v>
      </c>
      <c r="L577" s="7" t="s">
        <v>66</v>
      </c>
      <c r="M577" s="11">
        <f t="shared" si="42"/>
        <v>10800</v>
      </c>
      <c r="N577" t="str">
        <f t="shared" si="43"/>
        <v>Dec</v>
      </c>
      <c r="O577">
        <f t="shared" si="44"/>
        <v>4</v>
      </c>
      <c r="P577">
        <f>VLOOKUP(F577,Products!A:C,3,FALSE)</f>
        <v>3348</v>
      </c>
      <c r="Q577" s="12">
        <f t="shared" si="45"/>
        <v>4104</v>
      </c>
    </row>
    <row r="578" ht="15">
      <c r="A578" s="7" t="s">
        <v>670</v>
      </c>
      <c r="B578" s="8">
        <v>46010</v>
      </c>
      <c r="C578" s="7" t="s">
        <v>33</v>
      </c>
      <c r="D578" s="7" t="s">
        <v>102</v>
      </c>
      <c r="E578" s="7" t="s">
        <v>34</v>
      </c>
      <c r="F578" s="7" t="s">
        <v>92</v>
      </c>
      <c r="G578" s="7">
        <v>19</v>
      </c>
      <c r="H578" s="9">
        <v>85</v>
      </c>
      <c r="I578" s="10">
        <v>0</v>
      </c>
      <c r="J578" s="7" t="s">
        <v>89</v>
      </c>
      <c r="K578" s="7" t="s">
        <v>65</v>
      </c>
      <c r="L578" s="7" t="s">
        <v>78</v>
      </c>
      <c r="M578" s="11">
        <f t="shared" si="42"/>
        <v>1615</v>
      </c>
      <c r="N578" t="str">
        <f t="shared" si="43"/>
        <v>Dec</v>
      </c>
      <c r="O578">
        <f t="shared" si="44"/>
        <v>4</v>
      </c>
      <c r="P578">
        <f>VLOOKUP(F578,Products!A:C,3,FALSE)</f>
        <v>53</v>
      </c>
      <c r="Q578" s="12">
        <f t="shared" si="45"/>
        <v>608</v>
      </c>
    </row>
    <row r="579" ht="15">
      <c r="A579" s="7" t="s">
        <v>671</v>
      </c>
      <c r="B579" s="8">
        <v>46010</v>
      </c>
      <c r="C579" s="7" t="s">
        <v>23</v>
      </c>
      <c r="D579" s="7" t="s">
        <v>95</v>
      </c>
      <c r="E579" s="7" t="s">
        <v>19</v>
      </c>
      <c r="F579" s="7" t="s">
        <v>73</v>
      </c>
      <c r="G579" s="7">
        <v>4</v>
      </c>
      <c r="H579" s="9">
        <v>650</v>
      </c>
      <c r="I579" s="10">
        <v>0.14999999999999999</v>
      </c>
      <c r="J579" s="7" t="s">
        <v>89</v>
      </c>
      <c r="K579" s="7" t="s">
        <v>65</v>
      </c>
      <c r="L579" s="7" t="s">
        <v>90</v>
      </c>
      <c r="M579" s="11">
        <f t="shared" si="42"/>
        <v>2210</v>
      </c>
      <c r="N579" t="str">
        <f t="shared" si="43"/>
        <v>Dec</v>
      </c>
      <c r="O579">
        <f t="shared" si="44"/>
        <v>4</v>
      </c>
      <c r="P579">
        <f>VLOOKUP(F579,Products!A:C,3,FALSE)</f>
        <v>403</v>
      </c>
      <c r="Q579" s="12">
        <f t="shared" si="45"/>
        <v>598</v>
      </c>
    </row>
    <row r="580" ht="15">
      <c r="A580" s="7" t="s">
        <v>672</v>
      </c>
      <c r="B580" s="8">
        <v>46011</v>
      </c>
      <c r="C580" s="7" t="s">
        <v>33</v>
      </c>
      <c r="D580" s="7" t="s">
        <v>102</v>
      </c>
      <c r="E580" s="7" t="s">
        <v>29</v>
      </c>
      <c r="F580" s="7" t="s">
        <v>81</v>
      </c>
      <c r="G580" s="7">
        <v>2</v>
      </c>
      <c r="H580" s="9">
        <v>1900</v>
      </c>
      <c r="I580" s="10">
        <v>0</v>
      </c>
      <c r="J580" s="7" t="s">
        <v>103</v>
      </c>
      <c r="K580" s="7" t="s">
        <v>65</v>
      </c>
      <c r="L580" s="7" t="s">
        <v>78</v>
      </c>
      <c r="M580" s="11">
        <f t="shared" si="42"/>
        <v>3800</v>
      </c>
      <c r="N580" t="str">
        <f t="shared" si="43"/>
        <v>Dec</v>
      </c>
      <c r="O580">
        <f t="shared" si="44"/>
        <v>4</v>
      </c>
      <c r="P580">
        <f>VLOOKUP(F580,Products!A:C,3,FALSE)</f>
        <v>1178</v>
      </c>
      <c r="Q580" s="12">
        <f t="shared" si="45"/>
        <v>1444</v>
      </c>
    </row>
    <row r="581" ht="15">
      <c r="A581" s="7" t="s">
        <v>673</v>
      </c>
      <c r="B581" s="8">
        <v>46011</v>
      </c>
      <c r="C581" s="7" t="s">
        <v>28</v>
      </c>
      <c r="D581" s="7" t="s">
        <v>112</v>
      </c>
      <c r="E581" s="7" t="s">
        <v>24</v>
      </c>
      <c r="F581" s="7" t="s">
        <v>26</v>
      </c>
      <c r="G581" s="7">
        <v>2</v>
      </c>
      <c r="H581" s="9">
        <v>3100</v>
      </c>
      <c r="I581" s="10">
        <v>0</v>
      </c>
      <c r="J581" s="7" t="s">
        <v>103</v>
      </c>
      <c r="K581" s="7" t="s">
        <v>65</v>
      </c>
      <c r="L581" s="7" t="s">
        <v>90</v>
      </c>
      <c r="M581" s="11">
        <f t="shared" si="42"/>
        <v>6200</v>
      </c>
      <c r="N581" t="str">
        <f t="shared" si="43"/>
        <v>Dec</v>
      </c>
      <c r="O581">
        <f t="shared" si="44"/>
        <v>4</v>
      </c>
      <c r="P581">
        <f>VLOOKUP(F581,Products!A:C,3,FALSE)</f>
        <v>1922</v>
      </c>
      <c r="Q581" s="12">
        <f t="shared" si="45"/>
        <v>2356</v>
      </c>
    </row>
    <row r="582" ht="15">
      <c r="A582" s="7" t="s">
        <v>674</v>
      </c>
      <c r="B582" s="8">
        <v>46011</v>
      </c>
      <c r="C582" s="7" t="s">
        <v>36</v>
      </c>
      <c r="D582" s="7" t="s">
        <v>76</v>
      </c>
      <c r="E582" s="7" t="s">
        <v>19</v>
      </c>
      <c r="F582" s="7" t="s">
        <v>77</v>
      </c>
      <c r="G582" s="7">
        <v>4</v>
      </c>
      <c r="H582" s="9">
        <v>520</v>
      </c>
      <c r="I582" s="10">
        <v>0</v>
      </c>
      <c r="J582" s="7" t="s">
        <v>70</v>
      </c>
      <c r="K582" s="7" t="s">
        <v>65</v>
      </c>
      <c r="L582" s="7" t="s">
        <v>78</v>
      </c>
      <c r="M582" s="11">
        <f t="shared" si="42"/>
        <v>2080</v>
      </c>
      <c r="N582" t="str">
        <f t="shared" si="43"/>
        <v>Dec</v>
      </c>
      <c r="O582">
        <f t="shared" si="44"/>
        <v>4</v>
      </c>
      <c r="P582">
        <f>VLOOKUP(F582,Products!A:C,3,FALSE)</f>
        <v>322</v>
      </c>
      <c r="Q582" s="12">
        <f t="shared" si="45"/>
        <v>792</v>
      </c>
    </row>
    <row r="583" ht="15">
      <c r="A583" s="7" t="s">
        <v>675</v>
      </c>
      <c r="B583" s="8">
        <v>46011</v>
      </c>
      <c r="C583" s="7" t="s">
        <v>36</v>
      </c>
      <c r="D583" s="7" t="s">
        <v>76</v>
      </c>
      <c r="E583" s="7" t="s">
        <v>34</v>
      </c>
      <c r="F583" s="7" t="s">
        <v>92</v>
      </c>
      <c r="G583" s="7">
        <v>25</v>
      </c>
      <c r="H583" s="9">
        <v>85</v>
      </c>
      <c r="I583" s="10">
        <v>5.0000000000000003e-002</v>
      </c>
      <c r="J583" s="7" t="s">
        <v>83</v>
      </c>
      <c r="K583" s="7" t="s">
        <v>71</v>
      </c>
      <c r="L583" s="7" t="s">
        <v>78</v>
      </c>
      <c r="M583" s="11">
        <f t="shared" si="42"/>
        <v>2018.75</v>
      </c>
      <c r="N583" t="str">
        <f t="shared" si="43"/>
        <v>Dec</v>
      </c>
      <c r="O583">
        <f t="shared" si="44"/>
        <v>4</v>
      </c>
      <c r="P583">
        <f>VLOOKUP(F583,Products!A:C,3,FALSE)</f>
        <v>53</v>
      </c>
      <c r="Q583" s="12">
        <f t="shared" si="45"/>
        <v>693.75</v>
      </c>
    </row>
    <row r="584" ht="15">
      <c r="A584" s="7" t="s">
        <v>676</v>
      </c>
      <c r="B584" s="8">
        <v>46012</v>
      </c>
      <c r="C584" s="7" t="s">
        <v>40</v>
      </c>
      <c r="D584" s="7" t="s">
        <v>85</v>
      </c>
      <c r="E584" s="7" t="s">
        <v>34</v>
      </c>
      <c r="F584" s="7" t="s">
        <v>69</v>
      </c>
      <c r="G584" s="7">
        <v>7</v>
      </c>
      <c r="H584" s="9">
        <v>120</v>
      </c>
      <c r="I584" s="10">
        <v>0</v>
      </c>
      <c r="J584" s="7" t="s">
        <v>83</v>
      </c>
      <c r="K584" s="7" t="s">
        <v>65</v>
      </c>
      <c r="L584" s="7" t="s">
        <v>78</v>
      </c>
      <c r="M584" s="11">
        <f t="shared" si="42"/>
        <v>840</v>
      </c>
      <c r="N584" t="str">
        <f t="shared" si="43"/>
        <v>Dec</v>
      </c>
      <c r="O584">
        <f t="shared" si="44"/>
        <v>4</v>
      </c>
      <c r="P584">
        <f>VLOOKUP(F584,Products!A:C,3,FALSE)</f>
        <v>74</v>
      </c>
      <c r="Q584" s="12">
        <f t="shared" si="45"/>
        <v>322</v>
      </c>
    </row>
    <row r="585" ht="15">
      <c r="A585" s="7" t="s">
        <v>677</v>
      </c>
      <c r="B585" s="8">
        <v>46013</v>
      </c>
      <c r="C585" s="7" t="s">
        <v>33</v>
      </c>
      <c r="D585" s="7" t="s">
        <v>102</v>
      </c>
      <c r="E585" s="7" t="s">
        <v>34</v>
      </c>
      <c r="F585" s="7" t="s">
        <v>69</v>
      </c>
      <c r="G585" s="7">
        <v>17</v>
      </c>
      <c r="H585" s="9">
        <v>120</v>
      </c>
      <c r="I585" s="10">
        <v>0</v>
      </c>
      <c r="J585" s="7" t="s">
        <v>70</v>
      </c>
      <c r="K585" s="7" t="s">
        <v>65</v>
      </c>
      <c r="L585" s="7" t="s">
        <v>66</v>
      </c>
      <c r="M585" s="11">
        <f t="shared" si="42"/>
        <v>2040</v>
      </c>
      <c r="N585" t="str">
        <f t="shared" si="43"/>
        <v>Dec</v>
      </c>
      <c r="O585">
        <f t="shared" si="44"/>
        <v>4</v>
      </c>
      <c r="P585">
        <f>VLOOKUP(F585,Products!A:C,3,FALSE)</f>
        <v>74</v>
      </c>
      <c r="Q585" s="12">
        <f t="shared" si="45"/>
        <v>782</v>
      </c>
    </row>
    <row r="586" ht="15">
      <c r="A586" s="7" t="s">
        <v>678</v>
      </c>
      <c r="B586" s="8">
        <v>46014</v>
      </c>
      <c r="C586" s="7" t="s">
        <v>23</v>
      </c>
      <c r="D586" s="7" t="s">
        <v>105</v>
      </c>
      <c r="E586" s="7" t="s">
        <v>19</v>
      </c>
      <c r="F586" s="7" t="s">
        <v>106</v>
      </c>
      <c r="G586" s="7">
        <v>2</v>
      </c>
      <c r="H586" s="9">
        <v>180</v>
      </c>
      <c r="I586" s="10">
        <v>5.0000000000000003e-002</v>
      </c>
      <c r="J586" s="7" t="s">
        <v>93</v>
      </c>
      <c r="K586" s="7" t="s">
        <v>65</v>
      </c>
      <c r="L586" s="7" t="s">
        <v>78</v>
      </c>
      <c r="M586" s="11">
        <f t="shared" si="42"/>
        <v>342</v>
      </c>
      <c r="N586" t="str">
        <f t="shared" si="43"/>
        <v>Dec</v>
      </c>
      <c r="O586">
        <f t="shared" si="44"/>
        <v>4</v>
      </c>
      <c r="P586">
        <f>VLOOKUP(F586,Products!A:C,3,FALSE)</f>
        <v>112</v>
      </c>
      <c r="Q586" s="12">
        <f t="shared" si="45"/>
        <v>118</v>
      </c>
    </row>
    <row r="587" ht="15">
      <c r="A587" s="7" t="s">
        <v>679</v>
      </c>
      <c r="B587" s="8">
        <v>46014</v>
      </c>
      <c r="C587" s="7" t="s">
        <v>33</v>
      </c>
      <c r="D587" s="7" t="s">
        <v>102</v>
      </c>
      <c r="E587" s="7" t="s">
        <v>19</v>
      </c>
      <c r="F587" s="7" t="s">
        <v>73</v>
      </c>
      <c r="G587" s="7">
        <v>4</v>
      </c>
      <c r="H587" s="9">
        <v>650</v>
      </c>
      <c r="I587" s="10">
        <v>0.14999999999999999</v>
      </c>
      <c r="J587" s="7" t="s">
        <v>70</v>
      </c>
      <c r="K587" s="7" t="s">
        <v>65</v>
      </c>
      <c r="L587" s="7" t="s">
        <v>78</v>
      </c>
      <c r="M587" s="11">
        <f t="shared" si="42"/>
        <v>2210</v>
      </c>
      <c r="N587" t="str">
        <f t="shared" si="43"/>
        <v>Dec</v>
      </c>
      <c r="O587">
        <f t="shared" si="44"/>
        <v>4</v>
      </c>
      <c r="P587">
        <f>VLOOKUP(F587,Products!A:C,3,FALSE)</f>
        <v>403</v>
      </c>
      <c r="Q587" s="12">
        <f t="shared" si="45"/>
        <v>598</v>
      </c>
    </row>
    <row r="588" ht="15">
      <c r="A588" s="7" t="s">
        <v>680</v>
      </c>
      <c r="B588" s="8">
        <v>46014</v>
      </c>
      <c r="C588" s="7" t="s">
        <v>23</v>
      </c>
      <c r="D588" s="7" t="s">
        <v>95</v>
      </c>
      <c r="E588" s="7" t="s">
        <v>24</v>
      </c>
      <c r="F588" s="7" t="s">
        <v>31</v>
      </c>
      <c r="G588" s="7">
        <v>4</v>
      </c>
      <c r="H588" s="9">
        <v>5400</v>
      </c>
      <c r="I588" s="10">
        <v>5.0000000000000003e-002</v>
      </c>
      <c r="J588" s="7" t="s">
        <v>93</v>
      </c>
      <c r="K588" s="7" t="s">
        <v>65</v>
      </c>
      <c r="L588" s="7" t="s">
        <v>74</v>
      </c>
      <c r="M588" s="11">
        <f t="shared" si="42"/>
        <v>20520</v>
      </c>
      <c r="N588" t="str">
        <f t="shared" si="43"/>
        <v>Dec</v>
      </c>
      <c r="O588">
        <f t="shared" si="44"/>
        <v>4</v>
      </c>
      <c r="P588">
        <f>VLOOKUP(F588,Products!A:C,3,FALSE)</f>
        <v>3348</v>
      </c>
      <c r="Q588" s="12">
        <f t="shared" si="45"/>
        <v>7128</v>
      </c>
    </row>
    <row r="589" ht="15">
      <c r="A589" s="7" t="s">
        <v>681</v>
      </c>
      <c r="B589" s="8">
        <v>46014</v>
      </c>
      <c r="C589" s="7" t="s">
        <v>33</v>
      </c>
      <c r="D589" s="7" t="s">
        <v>102</v>
      </c>
      <c r="E589" s="7" t="s">
        <v>29</v>
      </c>
      <c r="F589" s="7" t="s">
        <v>81</v>
      </c>
      <c r="G589" s="7">
        <v>4</v>
      </c>
      <c r="H589" s="9">
        <v>1900</v>
      </c>
      <c r="I589" s="10">
        <v>0</v>
      </c>
      <c r="J589" s="7" t="s">
        <v>93</v>
      </c>
      <c r="K589" s="7" t="s">
        <v>65</v>
      </c>
      <c r="L589" s="7" t="s">
        <v>74</v>
      </c>
      <c r="M589" s="11">
        <f t="shared" si="42"/>
        <v>7600</v>
      </c>
      <c r="N589" t="str">
        <f t="shared" si="43"/>
        <v>Dec</v>
      </c>
      <c r="O589">
        <f t="shared" si="44"/>
        <v>4</v>
      </c>
      <c r="P589">
        <f>VLOOKUP(F589,Products!A:C,3,FALSE)</f>
        <v>1178</v>
      </c>
      <c r="Q589" s="12">
        <f t="shared" si="45"/>
        <v>2888</v>
      </c>
    </row>
    <row r="590" ht="15">
      <c r="A590" s="7" t="s">
        <v>682</v>
      </c>
      <c r="B590" s="8">
        <v>46015</v>
      </c>
      <c r="C590" s="7" t="s">
        <v>36</v>
      </c>
      <c r="D590" s="7" t="s">
        <v>114</v>
      </c>
      <c r="E590" s="7" t="s">
        <v>19</v>
      </c>
      <c r="F590" s="7" t="s">
        <v>73</v>
      </c>
      <c r="G590" s="7">
        <v>1</v>
      </c>
      <c r="H590" s="9">
        <v>650</v>
      </c>
      <c r="I590" s="10">
        <v>0.14999999999999999</v>
      </c>
      <c r="J590" s="7" t="s">
        <v>70</v>
      </c>
      <c r="K590" s="7" t="s">
        <v>65</v>
      </c>
      <c r="L590" s="7" t="s">
        <v>78</v>
      </c>
      <c r="M590" s="11">
        <f t="shared" si="42"/>
        <v>552.5</v>
      </c>
      <c r="N590" t="str">
        <f t="shared" si="43"/>
        <v>Dec</v>
      </c>
      <c r="O590">
        <f t="shared" si="44"/>
        <v>4</v>
      </c>
      <c r="P590">
        <f>VLOOKUP(F590,Products!A:C,3,FALSE)</f>
        <v>403</v>
      </c>
      <c r="Q590" s="12">
        <f t="shared" si="45"/>
        <v>149.5</v>
      </c>
    </row>
    <row r="591" ht="15">
      <c r="A591" s="7" t="s">
        <v>683</v>
      </c>
      <c r="B591" s="8">
        <v>46015</v>
      </c>
      <c r="C591" s="7" t="s">
        <v>36</v>
      </c>
      <c r="D591" s="7" t="s">
        <v>114</v>
      </c>
      <c r="E591" s="7" t="s">
        <v>34</v>
      </c>
      <c r="F591" s="7" t="s">
        <v>69</v>
      </c>
      <c r="G591" s="7">
        <v>29</v>
      </c>
      <c r="H591" s="9">
        <v>120</v>
      </c>
      <c r="I591" s="10">
        <v>0.10000000000000001</v>
      </c>
      <c r="J591" s="7" t="s">
        <v>70</v>
      </c>
      <c r="K591" s="7" t="s">
        <v>65</v>
      </c>
      <c r="L591" s="7" t="s">
        <v>74</v>
      </c>
      <c r="M591" s="11">
        <f t="shared" si="42"/>
        <v>3132</v>
      </c>
      <c r="N591" t="str">
        <f t="shared" si="43"/>
        <v>Dec</v>
      </c>
      <c r="O591">
        <f t="shared" si="44"/>
        <v>4</v>
      </c>
      <c r="P591">
        <f>VLOOKUP(F591,Products!A:C,3,FALSE)</f>
        <v>74</v>
      </c>
      <c r="Q591" s="12">
        <f t="shared" si="45"/>
        <v>986</v>
      </c>
    </row>
    <row r="592" ht="15">
      <c r="A592" s="7" t="s">
        <v>684</v>
      </c>
      <c r="B592" s="8">
        <v>46016</v>
      </c>
      <c r="C592" s="7" t="s">
        <v>33</v>
      </c>
      <c r="D592" s="7" t="s">
        <v>102</v>
      </c>
      <c r="E592" s="7" t="s">
        <v>29</v>
      </c>
      <c r="F592" s="7" t="s">
        <v>120</v>
      </c>
      <c r="G592" s="7">
        <v>2</v>
      </c>
      <c r="H592" s="9">
        <v>2300</v>
      </c>
      <c r="I592" s="10">
        <v>0</v>
      </c>
      <c r="J592" s="7" t="s">
        <v>64</v>
      </c>
      <c r="K592" s="7" t="s">
        <v>71</v>
      </c>
      <c r="L592" s="7" t="s">
        <v>78</v>
      </c>
      <c r="M592" s="11">
        <f t="shared" si="42"/>
        <v>4600</v>
      </c>
      <c r="N592" t="str">
        <f t="shared" si="43"/>
        <v>Dec</v>
      </c>
      <c r="O592">
        <f t="shared" si="44"/>
        <v>4</v>
      </c>
      <c r="P592">
        <f>VLOOKUP(F592,Products!A:C,3,FALSE)</f>
        <v>1426</v>
      </c>
      <c r="Q592" s="12">
        <f t="shared" si="45"/>
        <v>1748</v>
      </c>
    </row>
    <row r="593" ht="15">
      <c r="A593" s="7" t="s">
        <v>685</v>
      </c>
      <c r="B593" s="8">
        <v>46017</v>
      </c>
      <c r="C593" s="7" t="s">
        <v>40</v>
      </c>
      <c r="D593" s="7" t="s">
        <v>80</v>
      </c>
      <c r="E593" s="7" t="s">
        <v>29</v>
      </c>
      <c r="F593" s="7" t="s">
        <v>21</v>
      </c>
      <c r="G593" s="7">
        <v>4</v>
      </c>
      <c r="H593" s="9">
        <v>3600</v>
      </c>
      <c r="I593" s="10">
        <v>0</v>
      </c>
      <c r="J593" s="7" t="s">
        <v>89</v>
      </c>
      <c r="K593" s="7" t="s">
        <v>65</v>
      </c>
      <c r="L593" s="7" t="s">
        <v>74</v>
      </c>
      <c r="M593" s="11">
        <f t="shared" si="42"/>
        <v>14400</v>
      </c>
      <c r="N593" t="str">
        <f t="shared" si="43"/>
        <v>Dec</v>
      </c>
      <c r="O593">
        <f t="shared" si="44"/>
        <v>4</v>
      </c>
      <c r="P593">
        <f>VLOOKUP(F593,Products!A:C,3,FALSE)</f>
        <v>2232</v>
      </c>
      <c r="Q593" s="12">
        <f t="shared" si="45"/>
        <v>5472</v>
      </c>
    </row>
    <row r="594" ht="15">
      <c r="A594" s="7" t="s">
        <v>686</v>
      </c>
      <c r="B594" s="8">
        <v>46017</v>
      </c>
      <c r="C594" s="7" t="s">
        <v>40</v>
      </c>
      <c r="D594" s="7" t="s">
        <v>85</v>
      </c>
      <c r="E594" s="7" t="s">
        <v>24</v>
      </c>
      <c r="F594" s="7" t="s">
        <v>96</v>
      </c>
      <c r="G594" s="7">
        <v>1</v>
      </c>
      <c r="H594" s="9">
        <v>1450</v>
      </c>
      <c r="I594" s="10">
        <v>5.0000000000000003e-002</v>
      </c>
      <c r="J594" s="7" t="s">
        <v>70</v>
      </c>
      <c r="K594" s="7" t="s">
        <v>71</v>
      </c>
      <c r="L594" s="7" t="s">
        <v>78</v>
      </c>
      <c r="M594" s="11">
        <f t="shared" si="42"/>
        <v>1377.5</v>
      </c>
      <c r="N594" t="str">
        <f t="shared" si="43"/>
        <v>Dec</v>
      </c>
      <c r="O594">
        <f t="shared" si="44"/>
        <v>4</v>
      </c>
      <c r="P594">
        <f>VLOOKUP(F594,Products!A:C,3,FALSE)</f>
        <v>899</v>
      </c>
      <c r="Q594" s="12">
        <f t="shared" si="45"/>
        <v>478.5</v>
      </c>
    </row>
    <row r="595" ht="15">
      <c r="A595" s="7" t="s">
        <v>687</v>
      </c>
      <c r="B595" s="8">
        <v>46017</v>
      </c>
      <c r="C595" s="7" t="s">
        <v>18</v>
      </c>
      <c r="D595" s="7" t="s">
        <v>63</v>
      </c>
      <c r="E595" s="7" t="s">
        <v>34</v>
      </c>
      <c r="F595" s="7" t="s">
        <v>92</v>
      </c>
      <c r="G595" s="7">
        <v>18</v>
      </c>
      <c r="H595" s="9">
        <v>85</v>
      </c>
      <c r="I595" s="10">
        <v>0.10000000000000001</v>
      </c>
      <c r="J595" s="7" t="s">
        <v>89</v>
      </c>
      <c r="K595" s="7" t="s">
        <v>65</v>
      </c>
      <c r="L595" s="7" t="s">
        <v>90</v>
      </c>
      <c r="M595" s="11">
        <f t="shared" si="42"/>
        <v>1377</v>
      </c>
      <c r="N595" t="str">
        <f t="shared" si="43"/>
        <v>Dec</v>
      </c>
      <c r="O595">
        <f t="shared" si="44"/>
        <v>4</v>
      </c>
      <c r="P595">
        <f>VLOOKUP(F595,Products!A:C,3,FALSE)</f>
        <v>53</v>
      </c>
      <c r="Q595" s="12">
        <f t="shared" si="45"/>
        <v>423</v>
      </c>
    </row>
    <row r="596" ht="15">
      <c r="A596" s="7" t="s">
        <v>688</v>
      </c>
      <c r="B596" s="8">
        <v>46017</v>
      </c>
      <c r="C596" s="7" t="s">
        <v>40</v>
      </c>
      <c r="D596" s="7" t="s">
        <v>80</v>
      </c>
      <c r="E596" s="7" t="s">
        <v>29</v>
      </c>
      <c r="F596" s="7" t="s">
        <v>81</v>
      </c>
      <c r="G596" s="7">
        <v>1</v>
      </c>
      <c r="H596" s="9">
        <v>1900</v>
      </c>
      <c r="I596" s="10">
        <v>0</v>
      </c>
      <c r="J596" s="7" t="s">
        <v>83</v>
      </c>
      <c r="K596" s="7" t="s">
        <v>65</v>
      </c>
      <c r="L596" s="7" t="s">
        <v>74</v>
      </c>
      <c r="M596" s="11">
        <f t="shared" si="42"/>
        <v>1900</v>
      </c>
      <c r="N596" t="str">
        <f t="shared" si="43"/>
        <v>Dec</v>
      </c>
      <c r="O596">
        <f t="shared" si="44"/>
        <v>4</v>
      </c>
      <c r="P596">
        <f>VLOOKUP(F596,Products!A:C,3,FALSE)</f>
        <v>1178</v>
      </c>
      <c r="Q596" s="12">
        <f t="shared" si="45"/>
        <v>722</v>
      </c>
    </row>
    <row r="597" ht="15">
      <c r="A597" s="7" t="s">
        <v>689</v>
      </c>
      <c r="B597" s="8">
        <v>46018</v>
      </c>
      <c r="C597" s="7" t="s">
        <v>40</v>
      </c>
      <c r="D597" s="7" t="s">
        <v>98</v>
      </c>
      <c r="E597" s="7" t="s">
        <v>24</v>
      </c>
      <c r="F597" s="7" t="s">
        <v>38</v>
      </c>
      <c r="G597" s="7">
        <v>3</v>
      </c>
      <c r="H597" s="9">
        <v>12500</v>
      </c>
      <c r="I597" s="10">
        <v>0</v>
      </c>
      <c r="J597" s="7" t="s">
        <v>64</v>
      </c>
      <c r="K597" s="7" t="s">
        <v>71</v>
      </c>
      <c r="L597" s="7" t="s">
        <v>66</v>
      </c>
      <c r="M597" s="11">
        <f t="shared" si="42"/>
        <v>37500</v>
      </c>
      <c r="N597" t="str">
        <f t="shared" si="43"/>
        <v>Dec</v>
      </c>
      <c r="O597">
        <f t="shared" si="44"/>
        <v>4</v>
      </c>
      <c r="P597">
        <f>VLOOKUP(F597,Products!A:C,3,FALSE)</f>
        <v>7750</v>
      </c>
      <c r="Q597" s="12">
        <f t="shared" si="45"/>
        <v>14250</v>
      </c>
    </row>
    <row r="598" ht="15">
      <c r="A598" s="7" t="s">
        <v>690</v>
      </c>
      <c r="B598" s="8">
        <v>46018</v>
      </c>
      <c r="C598" s="7" t="s">
        <v>18</v>
      </c>
      <c r="D598" s="7" t="s">
        <v>63</v>
      </c>
      <c r="E598" s="7" t="s">
        <v>29</v>
      </c>
      <c r="F598" s="7" t="s">
        <v>120</v>
      </c>
      <c r="G598" s="7">
        <v>1</v>
      </c>
      <c r="H598" s="9">
        <v>2300</v>
      </c>
      <c r="I598" s="10">
        <v>5.0000000000000003e-002</v>
      </c>
      <c r="J598" s="7" t="s">
        <v>64</v>
      </c>
      <c r="K598" s="7" t="s">
        <v>65</v>
      </c>
      <c r="L598" s="7" t="s">
        <v>66</v>
      </c>
      <c r="M598" s="11">
        <f t="shared" si="42"/>
        <v>2185</v>
      </c>
      <c r="N598" t="str">
        <f t="shared" si="43"/>
        <v>Dec</v>
      </c>
      <c r="O598">
        <f t="shared" si="44"/>
        <v>4</v>
      </c>
      <c r="P598">
        <f>VLOOKUP(F598,Products!A:C,3,FALSE)</f>
        <v>1426</v>
      </c>
      <c r="Q598" s="12">
        <f t="shared" si="45"/>
        <v>759</v>
      </c>
    </row>
    <row r="599" ht="15">
      <c r="A599" s="7" t="s">
        <v>691</v>
      </c>
      <c r="B599" s="8">
        <v>46020</v>
      </c>
      <c r="C599" s="7" t="s">
        <v>36</v>
      </c>
      <c r="D599" s="7" t="s">
        <v>114</v>
      </c>
      <c r="E599" s="7" t="s">
        <v>34</v>
      </c>
      <c r="F599" s="7" t="s">
        <v>92</v>
      </c>
      <c r="G599" s="7">
        <v>34</v>
      </c>
      <c r="H599" s="9">
        <v>85</v>
      </c>
      <c r="I599" s="10">
        <v>0.14999999999999999</v>
      </c>
      <c r="J599" s="7" t="s">
        <v>83</v>
      </c>
      <c r="K599" s="7" t="s">
        <v>65</v>
      </c>
      <c r="L599" s="7" t="s">
        <v>78</v>
      </c>
      <c r="M599" s="11">
        <f t="shared" si="42"/>
        <v>2456.5</v>
      </c>
      <c r="N599" t="str">
        <f t="shared" si="43"/>
        <v>Dec</v>
      </c>
      <c r="O599">
        <f t="shared" si="44"/>
        <v>4</v>
      </c>
      <c r="P599">
        <f>VLOOKUP(F599,Products!A:C,3,FALSE)</f>
        <v>53</v>
      </c>
      <c r="Q599" s="12">
        <f t="shared" si="45"/>
        <v>654.5</v>
      </c>
    </row>
    <row r="600" ht="15">
      <c r="A600" s="7" t="s">
        <v>692</v>
      </c>
      <c r="B600" s="8">
        <v>46020</v>
      </c>
      <c r="C600" s="7" t="s">
        <v>36</v>
      </c>
      <c r="D600" s="7" t="s">
        <v>76</v>
      </c>
      <c r="E600" s="7" t="s">
        <v>24</v>
      </c>
      <c r="F600" s="7" t="s">
        <v>35</v>
      </c>
      <c r="G600" s="7">
        <v>3</v>
      </c>
      <c r="H600" s="9">
        <v>8200</v>
      </c>
      <c r="I600" s="10">
        <v>5.0000000000000003e-002</v>
      </c>
      <c r="J600" s="7" t="s">
        <v>103</v>
      </c>
      <c r="K600" s="7" t="s">
        <v>71</v>
      </c>
      <c r="L600" s="7" t="s">
        <v>78</v>
      </c>
      <c r="M600" s="11">
        <f t="shared" si="42"/>
        <v>23370</v>
      </c>
      <c r="N600" t="str">
        <f t="shared" si="43"/>
        <v>Dec</v>
      </c>
      <c r="O600">
        <f t="shared" si="44"/>
        <v>4</v>
      </c>
      <c r="P600">
        <f>VLOOKUP(F600,Products!A:C,3,FALSE)</f>
        <v>5084</v>
      </c>
      <c r="Q600" s="12">
        <f t="shared" si="45"/>
        <v>8118</v>
      </c>
    </row>
    <row r="601" ht="15">
      <c r="A601" s="7" t="s">
        <v>693</v>
      </c>
      <c r="B601" s="8">
        <v>46022</v>
      </c>
      <c r="C601" s="7" t="s">
        <v>33</v>
      </c>
      <c r="D601" s="7" t="s">
        <v>102</v>
      </c>
      <c r="E601" s="7" t="s">
        <v>24</v>
      </c>
      <c r="F601" s="7" t="s">
        <v>26</v>
      </c>
      <c r="G601" s="7">
        <v>3</v>
      </c>
      <c r="H601" s="9">
        <v>3100</v>
      </c>
      <c r="I601" s="10">
        <v>0</v>
      </c>
      <c r="J601" s="7" t="s">
        <v>83</v>
      </c>
      <c r="K601" s="7" t="s">
        <v>65</v>
      </c>
      <c r="L601" s="7" t="s">
        <v>74</v>
      </c>
      <c r="M601" s="11">
        <f t="shared" si="42"/>
        <v>9300</v>
      </c>
      <c r="N601" t="str">
        <f t="shared" si="43"/>
        <v>Dec</v>
      </c>
      <c r="O601">
        <f t="shared" si="44"/>
        <v>4</v>
      </c>
      <c r="P601">
        <f>VLOOKUP(F601,Products!A:C,3,FALSE)</f>
        <v>1922</v>
      </c>
      <c r="Q601" s="12">
        <f t="shared" si="45"/>
        <v>3534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4.25"/>
  <cols>
    <col customWidth="1" min="1" max="1" style="0" width="16"/>
    <col customWidth="1" min="2" max="2" style="0" width="14"/>
    <col customWidth="1" min="3" max="3" style="0" width="15"/>
  </cols>
  <sheetData>
    <row r="1" ht="15">
      <c r="A1" s="6" t="s">
        <v>51</v>
      </c>
      <c r="B1" s="6" t="s">
        <v>50</v>
      </c>
      <c r="C1" s="6" t="s">
        <v>694</v>
      </c>
    </row>
    <row r="2" ht="15">
      <c r="A2" s="7" t="s">
        <v>38</v>
      </c>
      <c r="B2" s="7" t="s">
        <v>24</v>
      </c>
      <c r="C2" s="9">
        <v>7750</v>
      </c>
    </row>
    <row r="3" ht="15">
      <c r="A3" s="7" t="s">
        <v>35</v>
      </c>
      <c r="B3" s="7" t="s">
        <v>24</v>
      </c>
      <c r="C3" s="9">
        <v>5084</v>
      </c>
    </row>
    <row r="4" ht="15">
      <c r="A4" s="7" t="s">
        <v>31</v>
      </c>
      <c r="B4" s="7" t="s">
        <v>24</v>
      </c>
      <c r="C4" s="9">
        <v>3348</v>
      </c>
    </row>
    <row r="5" ht="15">
      <c r="A5" s="7" t="s">
        <v>21</v>
      </c>
      <c r="B5" s="7" t="s">
        <v>29</v>
      </c>
      <c r="C5" s="9">
        <v>2232</v>
      </c>
    </row>
    <row r="6" ht="15">
      <c r="A6" s="7" t="s">
        <v>26</v>
      </c>
      <c r="B6" s="7" t="s">
        <v>24</v>
      </c>
      <c r="C6" s="9">
        <v>1922</v>
      </c>
    </row>
    <row r="7" ht="15">
      <c r="A7" s="7" t="s">
        <v>120</v>
      </c>
      <c r="B7" s="7" t="s">
        <v>29</v>
      </c>
      <c r="C7" s="9">
        <v>1426</v>
      </c>
    </row>
    <row r="8" ht="15">
      <c r="A8" s="7" t="s">
        <v>81</v>
      </c>
      <c r="B8" s="7" t="s">
        <v>29</v>
      </c>
      <c r="C8" s="9">
        <v>1178</v>
      </c>
    </row>
    <row r="9" ht="15">
      <c r="A9" s="7" t="s">
        <v>96</v>
      </c>
      <c r="B9" s="7" t="s">
        <v>24</v>
      </c>
      <c r="C9" s="9">
        <v>899</v>
      </c>
    </row>
    <row r="10" ht="15">
      <c r="A10" s="7" t="s">
        <v>73</v>
      </c>
      <c r="B10" s="7" t="s">
        <v>19</v>
      </c>
      <c r="C10" s="9">
        <v>403</v>
      </c>
    </row>
    <row r="11" ht="15">
      <c r="A11" s="7" t="s">
        <v>77</v>
      </c>
      <c r="B11" s="7" t="s">
        <v>19</v>
      </c>
      <c r="C11" s="9">
        <v>322</v>
      </c>
    </row>
    <row r="12" ht="15">
      <c r="A12" s="7" t="s">
        <v>86</v>
      </c>
      <c r="B12" s="7" t="s">
        <v>34</v>
      </c>
      <c r="C12" s="9">
        <v>130</v>
      </c>
    </row>
    <row r="13" ht="15">
      <c r="A13" s="7" t="s">
        <v>106</v>
      </c>
      <c r="B13" s="7" t="s">
        <v>19</v>
      </c>
      <c r="C13" s="9">
        <v>112</v>
      </c>
    </row>
    <row r="14" ht="15">
      <c r="A14" s="7" t="s">
        <v>69</v>
      </c>
      <c r="B14" s="7" t="s">
        <v>34</v>
      </c>
      <c r="C14" s="9">
        <v>74</v>
      </c>
    </row>
    <row r="15" ht="15">
      <c r="A15" s="7" t="s">
        <v>92</v>
      </c>
      <c r="B15" s="7" t="s">
        <v>34</v>
      </c>
      <c r="C15" s="9">
        <v>53</v>
      </c>
    </row>
  </sheetData>
  <sortState ref="A2:C15" columnSort="0">
    <sortCondition sortBy="value" descending="1" ref="C2:C15"/>
  </sortState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cols>
    <col min="1" max="1" style="13" width="9.140625"/>
    <col bestFit="1" min="2" max="2" style="13" width="11.421875"/>
    <col min="3" max="10" style="13" width="9.140625"/>
    <col bestFit="1" min="11" max="11" style="13" width="11.421875"/>
    <col min="12" max="16384" style="13" width="9.140625"/>
  </cols>
  <sheetData>
    <row r="2" ht="14.25">
      <c r="O2" s="13"/>
    </row>
    <row r="6" ht="14.25">
      <c r="N6" s="13"/>
    </row>
    <row r="7" ht="14.25">
      <c r="B7" s="14"/>
      <c r="K7" s="1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4</cp:revision>
  <dcterms:created xsi:type="dcterms:W3CDTF">2026-10-06T04:24:06Z</dcterms:created>
  <dcterms:modified xsi:type="dcterms:W3CDTF">2026-10-13T12:48:57Z</dcterms:modified>
</cp:coreProperties>
</file>